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lsglobal-my.sharepoint.com/personal/ederson_bahia_alsglobal_com/Documents/DOCUMENTOS - BAHIA/Pasta Downloads/"/>
    </mc:Choice>
  </mc:AlternateContent>
  <xr:revisionPtr revIDLastSave="17" documentId="8_{AFF45574-53EE-4071-BCB3-0B44C9A34378}" xr6:coauthVersionLast="47" xr6:coauthVersionMax="47" xr10:uidLastSave="{84E111E1-7FCD-43BA-9C05-CFBD9F49C667}"/>
  <bookViews>
    <workbookView xWindow="-120" yWindow="-120" windowWidth="29040" windowHeight="15720" tabRatio="454" firstSheet="1" activeTab="2" xr2:uid="{069A45D1-3EFF-4EC9-9F7E-F3203DED34CA}"/>
  </bookViews>
  <sheets>
    <sheet name="CONST-MIN-Calc Real base prevt" sheetId="6" r:id="rId1"/>
    <sheet name="AGRO-Calc Real base preventiva" sheetId="5" r:id="rId2"/>
    <sheet name="FLORESTA-Calc Real base prevent" sheetId="8" r:id="rId3"/>
    <sheet name="MSC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6" l="1"/>
  <c r="C4" i="6"/>
  <c r="C3" i="6"/>
  <c r="AF43" i="6"/>
  <c r="AF29" i="6"/>
  <c r="AF28" i="6"/>
  <c r="AF26" i="6"/>
  <c r="AF27" i="6"/>
  <c r="AF39" i="6"/>
  <c r="AF38" i="6"/>
  <c r="AF37" i="6"/>
  <c r="AF36" i="6"/>
  <c r="AF35" i="6"/>
  <c r="AF34" i="6"/>
  <c r="AF33" i="6"/>
  <c r="AR43" i="5"/>
  <c r="C4" i="5"/>
  <c r="C3" i="5"/>
  <c r="C2" i="5"/>
  <c r="C6" i="7"/>
  <c r="D6" i="7" s="1"/>
  <c r="B6" i="7" s="1"/>
  <c r="C7" i="7"/>
  <c r="C8" i="7"/>
  <c r="C9" i="7"/>
  <c r="C10" i="7"/>
  <c r="C11" i="7"/>
  <c r="C12" i="7"/>
  <c r="H30" i="8"/>
  <c r="H10" i="8"/>
  <c r="H38" i="8"/>
  <c r="H39" i="8"/>
  <c r="H40" i="8"/>
  <c r="H41" i="8"/>
  <c r="H42" i="8"/>
  <c r="H17" i="8"/>
  <c r="H18" i="8"/>
  <c r="H19" i="8"/>
  <c r="H20" i="8"/>
  <c r="H21" i="8"/>
  <c r="T30" i="8"/>
  <c r="T10" i="8"/>
  <c r="T46" i="8"/>
  <c r="T45" i="8"/>
  <c r="T24" i="8"/>
  <c r="X42" i="8"/>
  <c r="X41" i="8"/>
  <c r="X40" i="8"/>
  <c r="X39" i="8"/>
  <c r="X38" i="8"/>
  <c r="X37" i="8"/>
  <c r="X36" i="8"/>
  <c r="X35" i="8"/>
  <c r="X34" i="8"/>
  <c r="X29" i="8"/>
  <c r="X28" i="8"/>
  <c r="X27" i="8"/>
  <c r="X46" i="8" s="1"/>
  <c r="X21" i="8"/>
  <c r="X20" i="8"/>
  <c r="X19" i="8"/>
  <c r="X18" i="8"/>
  <c r="X17" i="8"/>
  <c r="X16" i="8"/>
  <c r="X15" i="8"/>
  <c r="X14" i="8"/>
  <c r="T44" i="8"/>
  <c r="T43" i="8"/>
  <c r="T42" i="8"/>
  <c r="T41" i="8"/>
  <c r="T40" i="8"/>
  <c r="T39" i="8"/>
  <c r="T38" i="8"/>
  <c r="T37" i="8"/>
  <c r="T36" i="8"/>
  <c r="T35" i="8"/>
  <c r="T34" i="8"/>
  <c r="T29" i="8"/>
  <c r="T28" i="8"/>
  <c r="T27" i="8"/>
  <c r="T23" i="8"/>
  <c r="T22" i="8"/>
  <c r="T21" i="8"/>
  <c r="T20" i="8"/>
  <c r="T19" i="8"/>
  <c r="T18" i="8"/>
  <c r="T17" i="8"/>
  <c r="T16" i="8"/>
  <c r="T15" i="8"/>
  <c r="T14" i="8"/>
  <c r="D43" i="8"/>
  <c r="D44" i="8"/>
  <c r="D23" i="8"/>
  <c r="D22" i="8"/>
  <c r="P46" i="8"/>
  <c r="P42" i="8"/>
  <c r="P43" i="8"/>
  <c r="P22" i="8"/>
  <c r="P21" i="8"/>
  <c r="P23" i="8"/>
  <c r="P41" i="8"/>
  <c r="P44" i="8"/>
  <c r="P20" i="8"/>
  <c r="L18" i="8"/>
  <c r="L17" i="8"/>
  <c r="L16" i="8"/>
  <c r="F26" i="8"/>
  <c r="D42" i="8"/>
  <c r="D41" i="8"/>
  <c r="P40" i="8"/>
  <c r="D40" i="8"/>
  <c r="P39" i="8"/>
  <c r="L39" i="8"/>
  <c r="D39" i="8"/>
  <c r="P38" i="8"/>
  <c r="L38" i="8"/>
  <c r="D38" i="8"/>
  <c r="P37" i="8"/>
  <c r="L37" i="8"/>
  <c r="H37" i="8"/>
  <c r="D37" i="8"/>
  <c r="P36" i="8"/>
  <c r="L36" i="8"/>
  <c r="H36" i="8"/>
  <c r="D36" i="8"/>
  <c r="P35" i="8"/>
  <c r="L35" i="8"/>
  <c r="H35" i="8"/>
  <c r="D35" i="8"/>
  <c r="P34" i="8"/>
  <c r="L34" i="8"/>
  <c r="H34" i="8"/>
  <c r="D34" i="8"/>
  <c r="P29" i="8"/>
  <c r="L29" i="8"/>
  <c r="H29" i="8"/>
  <c r="D29" i="8"/>
  <c r="P28" i="8"/>
  <c r="L28" i="8"/>
  <c r="H28" i="8"/>
  <c r="D28" i="8"/>
  <c r="L27" i="8"/>
  <c r="H27" i="8"/>
  <c r="H46" i="8" s="1"/>
  <c r="D27" i="8"/>
  <c r="D46" i="8" s="1"/>
  <c r="C4" i="8" s="1"/>
  <c r="D21" i="8"/>
  <c r="D20" i="8"/>
  <c r="P19" i="8"/>
  <c r="D19" i="8"/>
  <c r="P18" i="8"/>
  <c r="D18" i="8"/>
  <c r="P17" i="8"/>
  <c r="D17" i="8"/>
  <c r="P16" i="8"/>
  <c r="H16" i="8"/>
  <c r="D16" i="8"/>
  <c r="P15" i="8"/>
  <c r="L15" i="8"/>
  <c r="H15" i="8"/>
  <c r="D15" i="8"/>
  <c r="P14" i="8"/>
  <c r="L14" i="8"/>
  <c r="H14" i="8"/>
  <c r="D14" i="8"/>
  <c r="AP25" i="5"/>
  <c r="AE39" i="5"/>
  <c r="AE38" i="5"/>
  <c r="AE37" i="5"/>
  <c r="AE36" i="5"/>
  <c r="AE35" i="5"/>
  <c r="AE34" i="5"/>
  <c r="AE33" i="5"/>
  <c r="AE14" i="5"/>
  <c r="D15" i="5"/>
  <c r="D16" i="5"/>
  <c r="D17" i="5"/>
  <c r="D18" i="5"/>
  <c r="D19" i="5"/>
  <c r="D20" i="5"/>
  <c r="D21" i="5"/>
  <c r="D14" i="5"/>
  <c r="AR8" i="5"/>
  <c r="AR36" i="5" s="1"/>
  <c r="AR35" i="5"/>
  <c r="AR34" i="5"/>
  <c r="AR33" i="5"/>
  <c r="AR28" i="5"/>
  <c r="AR27" i="5"/>
  <c r="AR26" i="5"/>
  <c r="AR16" i="5"/>
  <c r="AR15" i="5"/>
  <c r="AR14" i="5"/>
  <c r="AQ6" i="5"/>
  <c r="AN8" i="5"/>
  <c r="AE19" i="5"/>
  <c r="AF19" i="5" s="1"/>
  <c r="AE18" i="5"/>
  <c r="AF18" i="5"/>
  <c r="G6" i="6"/>
  <c r="E1" i="7"/>
  <c r="AF30" i="6" l="1"/>
  <c r="D30" i="8"/>
  <c r="C3" i="8" s="1"/>
  <c r="X30" i="8"/>
  <c r="X31" i="8" s="1"/>
  <c r="T11" i="8"/>
  <c r="T31" i="8"/>
  <c r="X10" i="8"/>
  <c r="X11" i="8" s="1"/>
  <c r="P30" i="8"/>
  <c r="P31" i="8" s="1"/>
  <c r="P10" i="8"/>
  <c r="P11" i="8" s="1"/>
  <c r="D10" i="8"/>
  <c r="H11" i="8"/>
  <c r="L10" i="8"/>
  <c r="L11" i="8" s="1"/>
  <c r="L30" i="8"/>
  <c r="L46" i="8"/>
  <c r="H31" i="8"/>
  <c r="AR29" i="5"/>
  <c r="AR10" i="5"/>
  <c r="AR11" i="5" s="1"/>
  <c r="AR30" i="5"/>
  <c r="AF15" i="6"/>
  <c r="AE15" i="5"/>
  <c r="AF15" i="5" s="1"/>
  <c r="D11" i="8" l="1"/>
  <c r="C2" i="8"/>
  <c r="J2" i="8" s="1"/>
  <c r="L31" i="8"/>
  <c r="D31" i="8"/>
  <c r="AF19" i="6"/>
  <c r="AF18" i="6"/>
  <c r="AF14" i="6"/>
  <c r="AF17" i="6"/>
  <c r="AF16" i="6"/>
  <c r="AE16" i="5"/>
  <c r="AF16" i="5" s="1"/>
  <c r="AE17" i="5"/>
  <c r="AF17" i="5" s="1"/>
  <c r="AF10" i="6" l="1"/>
  <c r="AF11" i="6" s="1"/>
  <c r="C2" i="6"/>
  <c r="D5" i="7"/>
  <c r="D4" i="7" l="1"/>
  <c r="E6" i="7"/>
  <c r="D12" i="7" l="1"/>
  <c r="B12" i="7" s="1"/>
  <c r="E12" i="7"/>
  <c r="D11" i="7"/>
  <c r="B11" i="7" s="1"/>
  <c r="E11" i="7"/>
  <c r="D10" i="7"/>
  <c r="B10" i="7" s="1"/>
  <c r="E10" i="7"/>
  <c r="D9" i="7"/>
  <c r="B9" i="7" s="1"/>
  <c r="E9" i="7"/>
  <c r="D8" i="7"/>
  <c r="B8" i="7" s="1"/>
  <c r="E8" i="7"/>
  <c r="D7" i="7"/>
  <c r="B7" i="7" s="1"/>
  <c r="E7" i="7"/>
  <c r="S6" i="5"/>
  <c r="O6" i="5"/>
  <c r="G6" i="5"/>
  <c r="K6" i="6"/>
  <c r="C6" i="6"/>
  <c r="AA39" i="6"/>
  <c r="AA18" i="6"/>
  <c r="AI37" i="5"/>
  <c r="AI18" i="5"/>
  <c r="AI17" i="5"/>
  <c r="AI16" i="5"/>
  <c r="AI15" i="5"/>
  <c r="AJ15" i="5" s="1"/>
  <c r="AI35" i="5"/>
  <c r="AI36" i="5"/>
  <c r="AI39" i="5"/>
  <c r="AA38" i="6"/>
  <c r="AA17" i="6"/>
  <c r="AA16" i="6"/>
  <c r="AA14" i="6"/>
  <c r="AA33" i="6"/>
  <c r="AB33" i="6" s="1"/>
  <c r="AA35" i="6"/>
  <c r="AA36" i="6"/>
  <c r="AA37" i="6"/>
  <c r="AB37" i="6"/>
  <c r="AB36" i="6"/>
  <c r="AB35" i="6"/>
  <c r="AA34" i="6"/>
  <c r="AB18" i="6"/>
  <c r="AB17" i="6"/>
  <c r="X41" i="6"/>
  <c r="X42" i="6"/>
  <c r="X22" i="6"/>
  <c r="X23" i="6"/>
  <c r="H17" i="6"/>
  <c r="H37" i="6"/>
  <c r="H38" i="6"/>
  <c r="H39" i="6"/>
  <c r="H18" i="6"/>
  <c r="H19" i="6"/>
  <c r="X28" i="6"/>
  <c r="X27" i="6"/>
  <c r="X26" i="6"/>
  <c r="X43" i="6" s="1"/>
  <c r="V25" i="6"/>
  <c r="T28" i="6"/>
  <c r="T27" i="6"/>
  <c r="T26" i="6"/>
  <c r="T43" i="6" s="1"/>
  <c r="R25" i="6"/>
  <c r="P28" i="6"/>
  <c r="P27" i="6"/>
  <c r="P26" i="6"/>
  <c r="P43" i="6" s="1"/>
  <c r="N25" i="6"/>
  <c r="L28" i="6"/>
  <c r="L27" i="6"/>
  <c r="L26" i="6"/>
  <c r="J25" i="6"/>
  <c r="H28" i="6"/>
  <c r="H27" i="6"/>
  <c r="H26" i="6"/>
  <c r="H43" i="6" s="1"/>
  <c r="F25" i="6"/>
  <c r="B25" i="6"/>
  <c r="D28" i="6"/>
  <c r="D27" i="6"/>
  <c r="D26" i="6"/>
  <c r="D43" i="6" s="1"/>
  <c r="D14" i="6"/>
  <c r="D15" i="6"/>
  <c r="D16" i="6"/>
  <c r="D17" i="6"/>
  <c r="D18" i="6"/>
  <c r="D19" i="6"/>
  <c r="H14" i="6"/>
  <c r="X40" i="6"/>
  <c r="T40" i="6"/>
  <c r="X39" i="6"/>
  <c r="T39" i="6"/>
  <c r="P39" i="6"/>
  <c r="D39" i="6"/>
  <c r="X38" i="6"/>
  <c r="T38" i="6"/>
  <c r="P38" i="6"/>
  <c r="L38" i="6"/>
  <c r="D38" i="6"/>
  <c r="X37" i="6"/>
  <c r="T37" i="6"/>
  <c r="P37" i="6"/>
  <c r="L37" i="6"/>
  <c r="D37" i="6"/>
  <c r="X36" i="6"/>
  <c r="T36" i="6"/>
  <c r="P36" i="6"/>
  <c r="L36" i="6"/>
  <c r="H36" i="6"/>
  <c r="D36" i="6"/>
  <c r="X35" i="6"/>
  <c r="T35" i="6"/>
  <c r="P35" i="6"/>
  <c r="L35" i="6"/>
  <c r="H35" i="6"/>
  <c r="D35" i="6"/>
  <c r="X34" i="6"/>
  <c r="T34" i="6"/>
  <c r="P34" i="6"/>
  <c r="L34" i="6"/>
  <c r="H34" i="6"/>
  <c r="D34" i="6"/>
  <c r="X33" i="6"/>
  <c r="T33" i="6"/>
  <c r="P33" i="6"/>
  <c r="L33" i="6"/>
  <c r="H33" i="6"/>
  <c r="D33" i="6"/>
  <c r="AB28" i="6"/>
  <c r="AB27" i="6"/>
  <c r="AB26" i="6"/>
  <c r="AB43" i="6" s="1"/>
  <c r="X20" i="6"/>
  <c r="T20" i="6"/>
  <c r="X19" i="6"/>
  <c r="T19" i="6"/>
  <c r="P19" i="6"/>
  <c r="X18" i="6"/>
  <c r="T18" i="6"/>
  <c r="P18" i="6"/>
  <c r="L18" i="6"/>
  <c r="X17" i="6"/>
  <c r="T17" i="6"/>
  <c r="P17" i="6"/>
  <c r="L17" i="6"/>
  <c r="AB16" i="6"/>
  <c r="X16" i="6"/>
  <c r="T16" i="6"/>
  <c r="P16" i="6"/>
  <c r="L16" i="6"/>
  <c r="H16" i="6"/>
  <c r="X15" i="6"/>
  <c r="T15" i="6"/>
  <c r="P15" i="6"/>
  <c r="L15" i="6"/>
  <c r="H15" i="6"/>
  <c r="AB14" i="6"/>
  <c r="X14" i="6"/>
  <c r="T14" i="6"/>
  <c r="P14" i="6"/>
  <c r="L14" i="6"/>
  <c r="AB10" i="6" l="1"/>
  <c r="AB11" i="6" s="1"/>
  <c r="D10" i="6"/>
  <c r="D29" i="6"/>
  <c r="X29" i="6"/>
  <c r="X30" i="6" s="1"/>
  <c r="X10" i="6"/>
  <c r="X11" i="6" s="1"/>
  <c r="H10" i="6"/>
  <c r="H11" i="6" s="1"/>
  <c r="H29" i="6"/>
  <c r="H30" i="6" s="1"/>
  <c r="T10" i="6"/>
  <c r="T11" i="6" s="1"/>
  <c r="T29" i="6"/>
  <c r="T30" i="6" s="1"/>
  <c r="P29" i="6"/>
  <c r="P30" i="6" s="1"/>
  <c r="L29" i="6"/>
  <c r="L30" i="6" s="1"/>
  <c r="L43" i="6"/>
  <c r="L10" i="6"/>
  <c r="L11" i="6" s="1"/>
  <c r="P10" i="6"/>
  <c r="P11" i="6" s="1"/>
  <c r="AB29" i="6"/>
  <c r="AB30" i="6" s="1"/>
  <c r="D30" i="6" l="1"/>
  <c r="D11" i="6"/>
  <c r="AI14" i="5" l="1"/>
  <c r="AJ14" i="5" s="1"/>
  <c r="AB43" i="5" l="1"/>
  <c r="X43" i="5"/>
  <c r="T20" i="5"/>
  <c r="AJ35" i="5"/>
  <c r="AJ36" i="5"/>
  <c r="AJ37" i="5"/>
  <c r="AJ39" i="5"/>
  <c r="AJ27" i="5"/>
  <c r="AJ28" i="5"/>
  <c r="AJ31" i="5"/>
  <c r="AJ26" i="5"/>
  <c r="AJ43" i="5" s="1"/>
  <c r="AI33" i="5"/>
  <c r="AJ33" i="5"/>
  <c r="AI34" i="5"/>
  <c r="AJ34" i="5" s="1"/>
  <c r="AJ18" i="5"/>
  <c r="AJ16" i="5"/>
  <c r="AJ17" i="5"/>
  <c r="P28" i="5"/>
  <c r="L39" i="5"/>
  <c r="L38" i="5"/>
  <c r="L37" i="5"/>
  <c r="L36" i="5"/>
  <c r="L19" i="5"/>
  <c r="L18" i="5"/>
  <c r="L17" i="5"/>
  <c r="AN28" i="5"/>
  <c r="AN27" i="5"/>
  <c r="AN26" i="5"/>
  <c r="AN43" i="5" s="1"/>
  <c r="AF28" i="5"/>
  <c r="AF27" i="5"/>
  <c r="AF26" i="5"/>
  <c r="AF43" i="5" s="1"/>
  <c r="AB28" i="5"/>
  <c r="AB27" i="5"/>
  <c r="AB26" i="5"/>
  <c r="X28" i="5"/>
  <c r="X27" i="5"/>
  <c r="X26" i="5"/>
  <c r="T28" i="5"/>
  <c r="T27" i="5"/>
  <c r="T26" i="5"/>
  <c r="T43" i="5" s="1"/>
  <c r="P27" i="5"/>
  <c r="P43" i="5"/>
  <c r="L28" i="5"/>
  <c r="L27" i="5"/>
  <c r="L26" i="5"/>
  <c r="L43" i="5" s="1"/>
  <c r="H28" i="5"/>
  <c r="H27" i="5"/>
  <c r="H26" i="5"/>
  <c r="H43" i="5" s="1"/>
  <c r="H36" i="5"/>
  <c r="H35" i="5"/>
  <c r="H16" i="5"/>
  <c r="P14" i="5"/>
  <c r="D41" i="5"/>
  <c r="D40" i="5"/>
  <c r="D39" i="5"/>
  <c r="D38" i="5"/>
  <c r="D28" i="5"/>
  <c r="D27" i="5"/>
  <c r="D26" i="5"/>
  <c r="D43" i="5" s="1"/>
  <c r="X40" i="5"/>
  <c r="T40" i="5"/>
  <c r="X39" i="5"/>
  <c r="T39" i="5"/>
  <c r="P39" i="5"/>
  <c r="X38" i="5"/>
  <c r="T38" i="5"/>
  <c r="P38" i="5"/>
  <c r="AF37" i="5"/>
  <c r="X37" i="5"/>
  <c r="T37" i="5"/>
  <c r="P37" i="5"/>
  <c r="D37" i="5"/>
  <c r="AF36" i="5"/>
  <c r="AB36" i="5"/>
  <c r="X36" i="5"/>
  <c r="T36" i="5"/>
  <c r="P36" i="5"/>
  <c r="D36" i="5"/>
  <c r="AF35" i="5"/>
  <c r="AB35" i="5"/>
  <c r="X35" i="5"/>
  <c r="T35" i="5"/>
  <c r="P35" i="5"/>
  <c r="L35" i="5"/>
  <c r="D35" i="5"/>
  <c r="AN34" i="5"/>
  <c r="AB34" i="5"/>
  <c r="X34" i="5"/>
  <c r="T34" i="5"/>
  <c r="P34" i="5"/>
  <c r="L34" i="5"/>
  <c r="H34" i="5"/>
  <c r="D34" i="5"/>
  <c r="AN33" i="5"/>
  <c r="AF33" i="5"/>
  <c r="AB33" i="5"/>
  <c r="X33" i="5"/>
  <c r="T33" i="5"/>
  <c r="P33" i="5"/>
  <c r="L33" i="5"/>
  <c r="H33" i="5"/>
  <c r="D33" i="5"/>
  <c r="X21" i="5"/>
  <c r="X20" i="5"/>
  <c r="X19" i="5"/>
  <c r="T19" i="5"/>
  <c r="P19" i="5"/>
  <c r="X18" i="5"/>
  <c r="T18" i="5"/>
  <c r="P18" i="5"/>
  <c r="AB17" i="5"/>
  <c r="X17" i="5"/>
  <c r="T17" i="5"/>
  <c r="P17" i="5"/>
  <c r="AB16" i="5"/>
  <c r="X16" i="5"/>
  <c r="T16" i="5"/>
  <c r="P16" i="5"/>
  <c r="L16" i="5"/>
  <c r="AB15" i="5"/>
  <c r="X15" i="5"/>
  <c r="T15" i="5"/>
  <c r="P15" i="5"/>
  <c r="L15" i="5"/>
  <c r="H15" i="5"/>
  <c r="AN14" i="5"/>
  <c r="AF14" i="5"/>
  <c r="AB14" i="5"/>
  <c r="X14" i="5"/>
  <c r="T14" i="5"/>
  <c r="L14" i="5"/>
  <c r="H14" i="5"/>
  <c r="AF29" i="5" l="1"/>
  <c r="AF30" i="5" s="1"/>
  <c r="AB29" i="5"/>
  <c r="AB30" i="5" s="1"/>
  <c r="AB10" i="5"/>
  <c r="AB11" i="5" s="1"/>
  <c r="AN29" i="5"/>
  <c r="AN30" i="5" s="1"/>
  <c r="AJ10" i="5"/>
  <c r="AJ11" i="5" s="1"/>
  <c r="X29" i="5"/>
  <c r="X30" i="5" s="1"/>
  <c r="X10" i="5"/>
  <c r="X11" i="5" s="1"/>
  <c r="T29" i="5"/>
  <c r="T30" i="5" s="1"/>
  <c r="T10" i="5"/>
  <c r="L29" i="5"/>
  <c r="L30" i="5" s="1"/>
  <c r="H29" i="5"/>
  <c r="H30" i="5" s="1"/>
  <c r="P29" i="5"/>
  <c r="P30" i="5" s="1"/>
  <c r="D29" i="5"/>
  <c r="H10" i="5"/>
  <c r="H11" i="5" s="1"/>
  <c r="D10" i="5"/>
  <c r="AN10" i="5"/>
  <c r="AN11" i="5" s="1"/>
  <c r="L10" i="5"/>
  <c r="P10" i="5"/>
  <c r="P11" i="5" s="1"/>
  <c r="AF10" i="5"/>
  <c r="AF11" i="5" s="1"/>
  <c r="J2" i="5" l="1"/>
  <c r="D30" i="5"/>
  <c r="T11" i="5"/>
  <c r="AJ30" i="5"/>
  <c r="AJ29" i="5"/>
  <c r="L11" i="5"/>
  <c r="D1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Bianca Calazans</author>
  </authors>
  <commentList>
    <comment ref="N6" authorId="0" shapeId="0" xr:uid="{BB10E18F-06D4-4EF7-B2D6-313204314384}">
      <text>
        <r>
          <rPr>
            <b/>
            <sz val="9"/>
            <color indexed="81"/>
            <rFont val="Segoe UI"/>
            <family val="2"/>
          </rPr>
          <t>Bianca Calazans:</t>
        </r>
        <r>
          <rPr>
            <sz val="9"/>
            <color indexed="81"/>
            <rFont val="Segoe UI"/>
            <family val="2"/>
          </rPr>
          <t xml:space="preserve">
verificar se coletam caixas de engrenagens do rotor, do reversor e do alimentador, transmissões pró-drive e hidrostática
e se a plataforma draper será coletada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Bianca Calazans</author>
  </authors>
  <commentList>
    <comment ref="N6" authorId="0" shapeId="0" xr:uid="{A5204F86-3D48-4B77-8646-1E32734F1BC7}">
      <text>
        <r>
          <rPr>
            <b/>
            <sz val="9"/>
            <color indexed="81"/>
            <rFont val="Segoe UI"/>
            <family val="2"/>
          </rPr>
          <t>Bianca Calazans:</t>
        </r>
        <r>
          <rPr>
            <sz val="9"/>
            <color indexed="81"/>
            <rFont val="Segoe UI"/>
            <family val="2"/>
          </rPr>
          <t xml:space="preserve">
verificar se coletam caixas de engrenagens do rotor, do reversor e do alimentador, transmissões pró-drive e hidrostática
e se a plataforma draper será coletada</t>
        </r>
      </text>
    </comment>
    <comment ref="N25" authorId="0" shapeId="0" xr:uid="{18A845B2-09D9-4979-A4B2-B72C8ACCCE58}">
      <text>
        <r>
          <rPr>
            <b/>
            <sz val="9"/>
            <color indexed="81"/>
            <rFont val="Segoe UI"/>
            <family val="2"/>
          </rPr>
          <t>Bianca Calazans:</t>
        </r>
        <r>
          <rPr>
            <sz val="9"/>
            <color indexed="81"/>
            <rFont val="Segoe UI"/>
            <family val="2"/>
          </rPr>
          <t xml:space="preserve">
verificar se coletam caixas de engrenagens do rotor, do reversor e do alimentador, transmissões pró-drive e hidrostática
e se a plataforma draper será coletada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Bianca Calazans</author>
  </authors>
  <commentList>
    <comment ref="N6" authorId="0" shapeId="0" xr:uid="{52C628C6-7ADC-4125-A8FC-D96FC74D8A30}">
      <text>
        <r>
          <rPr>
            <b/>
            <sz val="9"/>
            <color indexed="81"/>
            <rFont val="Segoe UI"/>
            <family val="2"/>
          </rPr>
          <t>Bianca Calazans:</t>
        </r>
        <r>
          <rPr>
            <sz val="9"/>
            <color indexed="81"/>
            <rFont val="Segoe UI"/>
            <family val="2"/>
          </rPr>
          <t xml:space="preserve">
verificar se coletam caixas de engrenagens do rotor, do reversor e do alimentador, transmissões pró-drive e hidrostática
e se a plataforma draper será coletada</t>
        </r>
      </text>
    </comment>
    <comment ref="N26" authorId="0" shapeId="0" xr:uid="{BA6CCDA4-B53A-4D43-9B6C-C433F2AC5214}">
      <text>
        <r>
          <rPr>
            <b/>
            <sz val="9"/>
            <color indexed="81"/>
            <rFont val="Segoe UI"/>
            <family val="2"/>
          </rPr>
          <t>Bianca Calazans:</t>
        </r>
        <r>
          <rPr>
            <sz val="9"/>
            <color indexed="81"/>
            <rFont val="Segoe UI"/>
            <family val="2"/>
          </rPr>
          <t xml:space="preserve">
verificar se coletam caixas de engrenagens do rotor, do reversor e do alimentador, transmissões pró-drive e hidrostática
e se a plataforma draper será coletada</t>
        </r>
      </text>
    </comment>
  </commentList>
</comments>
</file>

<file path=xl/sharedStrings.xml><?xml version="1.0" encoding="utf-8"?>
<sst xmlns="http://schemas.openxmlformats.org/spreadsheetml/2006/main" count="904" uniqueCount="119">
  <si>
    <t>Ticket Médio por Serviço executado (dealer)</t>
  </si>
  <si>
    <t>Faturamento (dealer)</t>
  </si>
  <si>
    <t>Total de amostras por ano</t>
  </si>
  <si>
    <t>sem contar diesel da máquina</t>
  </si>
  <si>
    <t>→</t>
  </si>
  <si>
    <t>incluindo diesel da máquina</t>
  </si>
  <si>
    <t>Conversão em Serviço (dealer)</t>
  </si>
  <si>
    <t>pensando em 3 amostras por compartimento/ano</t>
  </si>
  <si>
    <t>Retroescavadeira</t>
  </si>
  <si>
    <t>Pá carregadeira</t>
  </si>
  <si>
    <t>Escavadeira</t>
  </si>
  <si>
    <t>Tratores de esteira</t>
  </si>
  <si>
    <t>Motoniveladora</t>
  </si>
  <si>
    <t>todos os modelos</t>
  </si>
  <si>
    <t>Motoniveladora com 6WD</t>
  </si>
  <si>
    <t>CAMINHÕES</t>
  </si>
  <si>
    <t>genérico</t>
  </si>
  <si>
    <t>TOTAL DE MÁQUINAS</t>
  </si>
  <si>
    <t>MÁQUINAS</t>
  </si>
  <si>
    <t>HORAS TRABALHADAS</t>
  </si>
  <si>
    <t>MESES TRABALHADOS/ANO</t>
  </si>
  <si>
    <t>QUANTIDADE AMOSTRAS POR ANO</t>
  </si>
  <si>
    <t>QUANTIDADE DE AMOSTRAS POR MÊS TRABALHADO</t>
  </si>
  <si>
    <t>km  RODADOS</t>
  </si>
  <si>
    <t>PONTO DE COLETA</t>
  </si>
  <si>
    <t>PERÍODO DE COLETA</t>
  </si>
  <si>
    <t>TOTAL DE COLETAS</t>
  </si>
  <si>
    <t>MOTOR</t>
  </si>
  <si>
    <t xml:space="preserve">MOTOR </t>
  </si>
  <si>
    <t>ARREFECIMENTO</t>
  </si>
  <si>
    <t>TRANSMISSÃO</t>
  </si>
  <si>
    <t>SISTEMA HIDRÁULICO</t>
  </si>
  <si>
    <t>DIFERENCIAL Dianteiro</t>
  </si>
  <si>
    <t>REDUÇÃO FINAL ESQUERDA</t>
  </si>
  <si>
    <t>SISTEMA HIDROSTÁTICO</t>
  </si>
  <si>
    <t>DIFERENCIAL Traseiro</t>
  </si>
  <si>
    <t>EIXO DIANTEIRO</t>
  </si>
  <si>
    <t>REDUÇÃO FINAL DIREITA</t>
  </si>
  <si>
    <t>EIXO TRASEIRO</t>
  </si>
  <si>
    <t>RADIADOR (ARREFECIMENTO)</t>
  </si>
  <si>
    <t>TANDEM DIREITO</t>
  </si>
  <si>
    <t>COMANDOS</t>
  </si>
  <si>
    <t>TANDEM ESQUERDO</t>
  </si>
  <si>
    <t>DIESEL</t>
  </si>
  <si>
    <t>REDUÇÃO FINAL ESQUERDA (se equipado com 6WD)</t>
  </si>
  <si>
    <t>REDUÇÃO FINAL DIREITA (se equipado com 6WD)</t>
  </si>
  <si>
    <t>modelo/horimetro específico</t>
  </si>
  <si>
    <t>km RODADOS</t>
  </si>
  <si>
    <t>ÓLEO DIESEL</t>
  </si>
  <si>
    <t>3 amostra/comp.ano</t>
  </si>
  <si>
    <t>COLHEDORA DE CANA</t>
  </si>
  <si>
    <t>TRATOR DE PNEU</t>
  </si>
  <si>
    <t>4 X 2</t>
  </si>
  <si>
    <t>4 X 4 - &gt;1000h/ano</t>
  </si>
  <si>
    <t>COLHEITADEIRA</t>
  </si>
  <si>
    <t>PULVERIZADOR</t>
  </si>
  <si>
    <t>COTTON PICKER</t>
  </si>
  <si>
    <t>UTILITÁRIO</t>
  </si>
  <si>
    <t>horimetro até 800h</t>
  </si>
  <si>
    <t>CAMINHÕES CANA</t>
  </si>
  <si>
    <t>km (comum 65mil km/safra)</t>
  </si>
  <si>
    <t>MOTO-BOMBA</t>
  </si>
  <si>
    <t>KMs RODADOS</t>
  </si>
  <si>
    <t>TRANSMISSÃO / HIDRÁULICO/DIF.T</t>
  </si>
  <si>
    <t>TRANSMISSÃO / HIDRÁULICO / DIF.T</t>
  </si>
  <si>
    <t>TRANSMISSÃO / HIDRÁULICO</t>
  </si>
  <si>
    <t>REDUÇÃO DIANTEIRA DIREITA</t>
  </si>
  <si>
    <t>TRANSMISSÃO / DIFERENCIAL</t>
  </si>
  <si>
    <t>DIFERENCIAL DIANTEIRO</t>
  </si>
  <si>
    <t>DIFERENCIAL</t>
  </si>
  <si>
    <t>REDUÇÃO DIANTEIRA ESQUERDA</t>
  </si>
  <si>
    <t>REDUÇÃO FINAL DIANTEIRA DIREITA</t>
  </si>
  <si>
    <t>REDUÇÃO TRASEIRA DIREITA</t>
  </si>
  <si>
    <t>REDUÇÃO FINAL DIANTEIRA ESQUERDA</t>
  </si>
  <si>
    <t>CAIXA 4 FUROS</t>
  </si>
  <si>
    <t>REDUÇÃO TRASEIRA ESQUERDA</t>
  </si>
  <si>
    <t>REDUÇÃO FINAL TRASEIRA DIREITA</t>
  </si>
  <si>
    <t>CAIXA PICADOR</t>
  </si>
  <si>
    <t>CORTADOR DE BASE</t>
  </si>
  <si>
    <t>TRATOR DE PNEU (5000)</t>
  </si>
  <si>
    <t>h</t>
  </si>
  <si>
    <t>Atuação</t>
  </si>
  <si>
    <t>Parque de máquinas</t>
  </si>
  <si>
    <t>Faturamento Pós Vendas</t>
  </si>
  <si>
    <t>Amostras no ano</t>
  </si>
  <si>
    <t>Ticket médio/serviço</t>
  </si>
  <si>
    <t>Horimetro esperado/ano</t>
  </si>
  <si>
    <t>Amostras/
mês</t>
  </si>
  <si>
    <t>PLATAFORMAS?</t>
  </si>
  <si>
    <t>Hidraulico</t>
  </si>
  <si>
    <t>HORAS TRABALHADAS NO ANO</t>
  </si>
  <si>
    <t>amostras a cada</t>
  </si>
  <si>
    <t>Qtd</t>
  </si>
  <si>
    <t>Manipulador</t>
  </si>
  <si>
    <t>~´</t>
  </si>
  <si>
    <t>FORWARDER</t>
  </si>
  <si>
    <t>PONSSE</t>
  </si>
  <si>
    <t>-</t>
  </si>
  <si>
    <t>FELLER</t>
  </si>
  <si>
    <t>SKIDDER</t>
  </si>
  <si>
    <t>HIDRÁULICO</t>
  </si>
  <si>
    <t>COMANDO FINAL DIREITO</t>
  </si>
  <si>
    <t>COMANDO FINAL ESQUERDO</t>
  </si>
  <si>
    <t>DIFERENCIAL TRASEIRO</t>
  </si>
  <si>
    <t>COMANDO FINAL DIANTEIRO DIREITO</t>
  </si>
  <si>
    <t>COMANDO FINAL DIANTEIRO ESQUERDO</t>
  </si>
  <si>
    <t>COMANDO FINAL TRASEIRO DIREITO</t>
  </si>
  <si>
    <t>COMANDO FINAL TRASEIRO ESQUERDO</t>
  </si>
  <si>
    <t>CAIXA DE TRANSMISSÃO</t>
  </si>
  <si>
    <t>TANDEM</t>
  </si>
  <si>
    <t>BOOGIE DIANT. DIREITO</t>
  </si>
  <si>
    <t>BOOGIE DIANT. ESQUERDO</t>
  </si>
  <si>
    <t>BOOGIE TRAS. DIREITO</t>
  </si>
  <si>
    <t>BOOGIE TRAS. ESQUERDO</t>
  </si>
  <si>
    <t>SISTEMA HIDRAULICO</t>
  </si>
  <si>
    <t>RADIADOR</t>
  </si>
  <si>
    <t>HARVESTER</t>
  </si>
  <si>
    <t>CAIXA DIVISORA DAS BOMBAS</t>
  </si>
  <si>
    <t>CUBO DA RODA (PLANETARIA)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</si>
</sst>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6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6"/>
      <color theme="8"/>
      <name val="Calibri"/>
      <family val="2"/>
      <scheme val="minor"/>
    </font>
    <font>
      <b/>
      <sz val="16"/>
      <color theme="7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rgb="FFEBCA35"/>
      <name val="Calibri"/>
      <family val="2"/>
      <scheme val="minor"/>
    </font>
    <font>
      <sz val="11"/>
      <color rgb="FFEBCA35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FFFF"/>
      <name val="Trebuchet MS"/>
      <family val="2"/>
    </font>
    <font>
      <sz val="15"/>
      <color rgb="FF000000"/>
      <name val="Trebuchet MS"/>
      <family val="2"/>
    </font>
    <font>
      <b/>
      <sz val="11"/>
      <color rgb="FFC00000"/>
      <name val="Calibri"/>
      <family val="2"/>
      <scheme val="minor"/>
    </font>
    <font>
      <sz val="11"/>
      <color theme="1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EB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ECD6EA"/>
        <bgColor indexed="64"/>
      </patternFill>
    </fill>
    <fill>
      <patternFill patternType="solid">
        <fgColor rgb="FFB971A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1E0FF"/>
        <bgColor indexed="64"/>
      </patternFill>
    </fill>
    <fill>
      <patternFill patternType="solid">
        <fgColor rgb="FFEBCA3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6E7A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C5A9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0">
    <xf numFmtId="0" fontId="0" fillId="0" borderId="0" xfId="0"/>
    <xf numFmtId="0" fontId="2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1" fontId="0" fillId="0" borderId="12" xfId="0" applyNumberFormat="1" applyBorder="1"/>
    <xf numFmtId="1" fontId="0" fillId="0" borderId="13" xfId="0" applyNumberFormat="1" applyBorder="1"/>
    <xf numFmtId="0" fontId="0" fillId="0" borderId="3" xfId="0" applyBorder="1"/>
    <xf numFmtId="1" fontId="0" fillId="0" borderId="4" xfId="0" applyNumberFormat="1" applyBorder="1"/>
    <xf numFmtId="1" fontId="0" fillId="0" borderId="7" xfId="0" applyNumberFormat="1" applyBorder="1"/>
    <xf numFmtId="1" fontId="0" fillId="0" borderId="8" xfId="0" applyNumberFormat="1" applyBorder="1"/>
    <xf numFmtId="0" fontId="1" fillId="3" borderId="5" xfId="1" applyFill="1" applyBorder="1"/>
    <xf numFmtId="1" fontId="0" fillId="4" borderId="12" xfId="0" applyNumberFormat="1" applyFill="1" applyBorder="1"/>
    <xf numFmtId="1" fontId="0" fillId="4" borderId="4" xfId="0" applyNumberFormat="1" applyFill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1" fontId="1" fillId="0" borderId="20" xfId="1" applyNumberFormat="1" applyFill="1" applyBorder="1"/>
    <xf numFmtId="0" fontId="1" fillId="0" borderId="20" xfId="1" applyFill="1" applyBorder="1"/>
    <xf numFmtId="1" fontId="0" fillId="0" borderId="0" xfId="0" applyNumberFormat="1"/>
    <xf numFmtId="1" fontId="1" fillId="0" borderId="0" xfId="1" applyNumberFormat="1" applyFill="1" applyBorder="1"/>
    <xf numFmtId="0" fontId="2" fillId="0" borderId="0" xfId="0" applyFont="1" applyAlignment="1">
      <alignment horizontal="center"/>
    </xf>
    <xf numFmtId="0" fontId="1" fillId="0" borderId="0" xfId="1" applyFill="1" applyBorder="1"/>
    <xf numFmtId="0" fontId="2" fillId="0" borderId="0" xfId="0" applyFont="1"/>
    <xf numFmtId="164" fontId="2" fillId="0" borderId="0" xfId="2" applyFont="1"/>
    <xf numFmtId="164" fontId="2" fillId="0" borderId="0" xfId="0" applyNumberFormat="1" applyFont="1"/>
    <xf numFmtId="0" fontId="7" fillId="0" borderId="3" xfId="0" applyFont="1" applyBorder="1"/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9" fontId="5" fillId="0" borderId="0" xfId="0" applyNumberFormat="1" applyFont="1" applyAlignment="1">
      <alignment horizontal="center" vertical="center"/>
    </xf>
    <xf numFmtId="0" fontId="2" fillId="4" borderId="0" xfId="3" applyNumberFormat="1" applyFont="1" applyFill="1" applyAlignment="1">
      <alignment horizontal="center" vertical="center"/>
    </xf>
    <xf numFmtId="0" fontId="2" fillId="4" borderId="0" xfId="0" applyFont="1" applyFill="1"/>
    <xf numFmtId="0" fontId="2" fillId="9" borderId="0" xfId="0" applyFont="1" applyFill="1"/>
    <xf numFmtId="0" fontId="2" fillId="9" borderId="0" xfId="3" applyNumberFormat="1" applyFont="1" applyFill="1" applyAlignment="1">
      <alignment horizontal="center" vertical="center"/>
    </xf>
    <xf numFmtId="0" fontId="1" fillId="7" borderId="0" xfId="1" applyFill="1" applyBorder="1"/>
    <xf numFmtId="0" fontId="1" fillId="8" borderId="0" xfId="1" applyFill="1" applyBorder="1"/>
    <xf numFmtId="0" fontId="1" fillId="3" borderId="0" xfId="1" applyFill="1" applyBorder="1"/>
    <xf numFmtId="0" fontId="6" fillId="6" borderId="5" xfId="1" applyFont="1" applyFill="1" applyBorder="1"/>
    <xf numFmtId="1" fontId="6" fillId="6" borderId="5" xfId="1" applyNumberFormat="1" applyFont="1" applyFill="1" applyBorder="1"/>
    <xf numFmtId="0" fontId="1" fillId="10" borderId="13" xfId="1" applyFill="1" applyBorder="1"/>
    <xf numFmtId="0" fontId="1" fillId="10" borderId="2" xfId="1" applyFill="1" applyBorder="1"/>
    <xf numFmtId="0" fontId="1" fillId="10" borderId="5" xfId="1" applyFill="1" applyBorder="1"/>
    <xf numFmtId="0" fontId="8" fillId="0" borderId="0" xfId="0" applyFont="1" applyAlignment="1">
      <alignment horizontal="left"/>
    </xf>
    <xf numFmtId="0" fontId="2" fillId="5" borderId="0" xfId="0" applyFont="1" applyFill="1"/>
    <xf numFmtId="0" fontId="2" fillId="5" borderId="0" xfId="3" applyNumberFormat="1" applyFont="1" applyFill="1" applyAlignment="1">
      <alignment horizontal="center" vertical="center"/>
    </xf>
    <xf numFmtId="0" fontId="9" fillId="0" borderId="0" xfId="0" applyFont="1" applyAlignment="1">
      <alignment horizontal="left"/>
    </xf>
    <xf numFmtId="0" fontId="10" fillId="5" borderId="0" xfId="0" applyFont="1" applyFill="1"/>
    <xf numFmtId="0" fontId="1" fillId="0" borderId="13" xfId="1" applyFill="1" applyBorder="1"/>
    <xf numFmtId="0" fontId="1" fillId="0" borderId="2" xfId="1" applyFill="1" applyBorder="1"/>
    <xf numFmtId="0" fontId="1" fillId="0" borderId="5" xfId="1" applyFill="1" applyBorder="1"/>
    <xf numFmtId="0" fontId="2" fillId="0" borderId="0" xfId="0" applyFont="1" applyAlignment="1">
      <alignment horizontal="right"/>
    </xf>
    <xf numFmtId="0" fontId="11" fillId="0" borderId="0" xfId="0" applyFont="1"/>
    <xf numFmtId="0" fontId="2" fillId="11" borderId="21" xfId="0" applyFont="1" applyFill="1" applyBorder="1"/>
    <xf numFmtId="0" fontId="1" fillId="13" borderId="13" xfId="1" applyFill="1" applyBorder="1"/>
    <xf numFmtId="0" fontId="1" fillId="13" borderId="5" xfId="1" applyFill="1" applyBorder="1"/>
    <xf numFmtId="0" fontId="13" fillId="12" borderId="5" xfId="1" applyFont="1" applyFill="1" applyBorder="1"/>
    <xf numFmtId="1" fontId="1" fillId="11" borderId="5" xfId="1" applyNumberFormat="1" applyFill="1" applyBorder="1"/>
    <xf numFmtId="0" fontId="0" fillId="14" borderId="0" xfId="0" applyFill="1"/>
    <xf numFmtId="0" fontId="0" fillId="14" borderId="3" xfId="0" applyFill="1" applyBorder="1"/>
    <xf numFmtId="1" fontId="0" fillId="14" borderId="4" xfId="0" applyNumberFormat="1" applyFill="1" applyBorder="1"/>
    <xf numFmtId="0" fontId="0" fillId="14" borderId="6" xfId="0" applyFill="1" applyBorder="1"/>
    <xf numFmtId="1" fontId="0" fillId="14" borderId="7" xfId="0" applyNumberFormat="1" applyFill="1" applyBorder="1"/>
    <xf numFmtId="0" fontId="1" fillId="15" borderId="13" xfId="1" applyFill="1" applyBorder="1"/>
    <xf numFmtId="0" fontId="1" fillId="15" borderId="5" xfId="1" applyFill="1" applyBorder="1"/>
    <xf numFmtId="0" fontId="14" fillId="0" borderId="0" xfId="0" applyFont="1"/>
    <xf numFmtId="164" fontId="14" fillId="0" borderId="0" xfId="2" applyFont="1"/>
    <xf numFmtId="0" fontId="0" fillId="16" borderId="0" xfId="0" applyFill="1"/>
    <xf numFmtId="0" fontId="0" fillId="17" borderId="0" xfId="0" applyFill="1"/>
    <xf numFmtId="0" fontId="15" fillId="18" borderId="24" xfId="0" applyFont="1" applyFill="1" applyBorder="1" applyAlignment="1">
      <alignment horizontal="center" vertical="center" wrapText="1"/>
    </xf>
    <xf numFmtId="0" fontId="15" fillId="18" borderId="25" xfId="0" applyFont="1" applyFill="1" applyBorder="1" applyAlignment="1">
      <alignment horizontal="center" vertical="center" wrapText="1"/>
    </xf>
    <xf numFmtId="0" fontId="16" fillId="19" borderId="26" xfId="0" applyFont="1" applyFill="1" applyBorder="1" applyAlignment="1">
      <alignment horizontal="center" wrapText="1"/>
    </xf>
    <xf numFmtId="0" fontId="16" fillId="19" borderId="27" xfId="0" applyNumberFormat="1" applyFont="1" applyFill="1" applyBorder="1" applyAlignment="1">
      <alignment horizontal="center" vertical="center" wrapText="1"/>
    </xf>
    <xf numFmtId="0" fontId="16" fillId="0" borderId="27" xfId="0" applyNumberFormat="1" applyFont="1" applyBorder="1" applyAlignment="1">
      <alignment horizontal="center" vertical="center" wrapText="1"/>
    </xf>
    <xf numFmtId="0" fontId="17" fillId="0" borderId="0" xfId="0" applyFont="1"/>
    <xf numFmtId="9" fontId="17" fillId="0" borderId="0" xfId="0" applyNumberFormat="1" applyFont="1" applyAlignment="1">
      <alignment horizontal="center"/>
    </xf>
    <xf numFmtId="0" fontId="14" fillId="16" borderId="0" xfId="0" applyFont="1" applyFill="1"/>
    <xf numFmtId="0" fontId="14" fillId="17" borderId="0" xfId="0" applyFont="1" applyFill="1"/>
    <xf numFmtId="44" fontId="16" fillId="19" borderId="27" xfId="0" applyNumberFormat="1" applyFont="1" applyFill="1" applyBorder="1" applyAlignment="1">
      <alignment horizontal="right" wrapText="1"/>
    </xf>
    <xf numFmtId="1" fontId="0" fillId="0" borderId="0" xfId="0" applyNumberFormat="1" applyAlignment="1">
      <alignment horizontal="center"/>
    </xf>
    <xf numFmtId="0" fontId="15" fillId="20" borderId="25" xfId="0" applyFont="1" applyFill="1" applyBorder="1" applyAlignment="1">
      <alignment horizontal="center" vertical="center" wrapText="1"/>
    </xf>
    <xf numFmtId="0" fontId="15" fillId="21" borderId="0" xfId="0" applyFont="1" applyFill="1" applyBorder="1" applyAlignment="1">
      <alignment horizontal="center" vertical="center" wrapText="1"/>
    </xf>
    <xf numFmtId="0" fontId="0" fillId="22" borderId="0" xfId="0" applyFill="1"/>
    <xf numFmtId="0" fontId="0" fillId="0" borderId="0" xfId="0" applyAlignment="1">
      <alignment wrapText="1"/>
    </xf>
    <xf numFmtId="0" fontId="8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" fillId="23" borderId="13" xfId="1" applyFill="1" applyBorder="1"/>
    <xf numFmtId="0" fontId="0" fillId="0" borderId="0" xfId="0" applyBorder="1"/>
    <xf numFmtId="1" fontId="0" fillId="0" borderId="0" xfId="0" applyNumberFormat="1" applyBorder="1"/>
    <xf numFmtId="1" fontId="0" fillId="4" borderId="0" xfId="0" applyNumberFormat="1" applyFill="1" applyBorder="1"/>
    <xf numFmtId="0" fontId="0" fillId="0" borderId="18" xfId="0" applyBorder="1"/>
    <xf numFmtId="1" fontId="0" fillId="0" borderId="19" xfId="0" applyNumberFormat="1" applyBorder="1"/>
    <xf numFmtId="1" fontId="0" fillId="0" borderId="28" xfId="0" applyNumberFormat="1" applyBorder="1"/>
    <xf numFmtId="0" fontId="0" fillId="0" borderId="29" xfId="0" applyFill="1" applyBorder="1"/>
    <xf numFmtId="1" fontId="0" fillId="0" borderId="30" xfId="0" applyNumberFormat="1" applyFill="1" applyBorder="1"/>
    <xf numFmtId="0" fontId="0" fillId="11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12" fillId="12" borderId="22" xfId="0" applyFont="1" applyFill="1" applyBorder="1" applyAlignment="1">
      <alignment horizontal="center"/>
    </xf>
    <xf numFmtId="0" fontId="12" fillId="12" borderId="2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0" fontId="13" fillId="12" borderId="4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6" fillId="6" borderId="3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2" fillId="24" borderId="16" xfId="0" applyFont="1" applyFill="1" applyBorder="1" applyAlignment="1">
      <alignment horizontal="center"/>
    </xf>
    <xf numFmtId="0" fontId="2" fillId="24" borderId="17" xfId="0" applyFont="1" applyFill="1" applyBorder="1" applyAlignment="1">
      <alignment horizontal="center"/>
    </xf>
  </cellXfs>
  <cellStyles count="4">
    <cellStyle name="20% - Ênfase6" xfId="1" builtinId="50"/>
    <cellStyle name="Moeda" xfId="2" builtinId="4"/>
    <cellStyle name="Normal" xfId="0" builtinId="0"/>
    <cellStyle name="Vírgula" xfId="3" builtinId="3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EB"/>
      <color rgb="FFD1E0FF"/>
      <color rgb="FFB971AC"/>
      <color rgb="FFECD6EA"/>
      <color rgb="FF822382"/>
      <color rgb="FFD9E6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84731-2322-4661-A219-4ACAC289D4A0}">
  <dimension ref="B1:AF43"/>
  <sheetViews>
    <sheetView topLeftCell="B3" zoomScale="85" zoomScaleNormal="85" workbookViewId="0">
      <selection activeCell="F25" sqref="F19:H25"/>
    </sheetView>
  </sheetViews>
  <sheetFormatPr defaultRowHeight="15" x14ac:dyDescent="0.25"/>
  <cols>
    <col min="1" max="1" width="2.85546875" customWidth="1"/>
    <col min="2" max="2" width="35.85546875" customWidth="1"/>
    <col min="3" max="3" width="24.42578125" customWidth="1"/>
    <col min="4" max="4" width="22.85546875" customWidth="1"/>
    <col min="5" max="5" width="3.7109375" customWidth="1"/>
    <col min="6" max="6" width="34.85546875" customWidth="1"/>
    <col min="7" max="7" width="25.140625" customWidth="1"/>
    <col min="8" max="8" width="25.42578125" customWidth="1"/>
    <col min="9" max="9" width="3.7109375" customWidth="1"/>
    <col min="10" max="10" width="44.42578125" customWidth="1"/>
    <col min="11" max="11" width="25.140625" customWidth="1"/>
    <col min="12" max="12" width="25.42578125" customWidth="1"/>
    <col min="13" max="13" width="3.7109375" customWidth="1"/>
    <col min="14" max="14" width="34.28515625" bestFit="1" customWidth="1"/>
    <col min="15" max="15" width="23.7109375" bestFit="1" customWidth="1"/>
    <col min="16" max="16" width="22.28515625" bestFit="1" customWidth="1"/>
    <col min="17" max="17" width="3.7109375" customWidth="1"/>
    <col min="18" max="18" width="35.85546875" bestFit="1" customWidth="1"/>
    <col min="19" max="19" width="24.42578125" bestFit="1" customWidth="1"/>
    <col min="20" max="20" width="22.85546875" customWidth="1"/>
    <col min="21" max="21" width="3.5703125" customWidth="1"/>
    <col min="22" max="22" width="39.28515625" bestFit="1" customWidth="1"/>
    <col min="23" max="24" width="22.85546875" customWidth="1"/>
    <col min="25" max="25" width="3.7109375" customWidth="1"/>
    <col min="26" max="26" width="34.85546875" bestFit="1" customWidth="1"/>
    <col min="27" max="27" width="24.42578125" customWidth="1"/>
    <col min="28" max="28" width="22.85546875" bestFit="1" customWidth="1"/>
    <col min="30" max="30" width="27.7109375" bestFit="1" customWidth="1"/>
    <col min="31" max="31" width="19.140625" bestFit="1" customWidth="1"/>
    <col min="32" max="32" width="17.7109375" bestFit="1" customWidth="1"/>
  </cols>
  <sheetData>
    <row r="1" spans="2:32" s="23" customFormat="1" ht="21" x14ac:dyDescent="0.35">
      <c r="H1" s="50" t="s">
        <v>0</v>
      </c>
      <c r="J1" s="21" t="s">
        <v>1</v>
      </c>
    </row>
    <row r="2" spans="2:32" s="23" customFormat="1" ht="21" x14ac:dyDescent="0.35">
      <c r="B2" s="31" t="s">
        <v>2</v>
      </c>
      <c r="C2" s="30">
        <f>SUM(D10,H10,L10,T10,AB10,P10,X10,AF10)</f>
        <v>12279</v>
      </c>
      <c r="D2" s="108" t="s">
        <v>3</v>
      </c>
      <c r="E2" s="108"/>
      <c r="F2" s="108"/>
      <c r="H2" s="24">
        <v>1950</v>
      </c>
      <c r="I2" s="51" t="s">
        <v>4</v>
      </c>
      <c r="J2" s="25">
        <f>C2*$H$4*$H$2</f>
        <v>1197202.5</v>
      </c>
    </row>
    <row r="3" spans="2:32" s="23" customFormat="1" ht="21" x14ac:dyDescent="0.35">
      <c r="B3" s="32" t="s">
        <v>2</v>
      </c>
      <c r="C3" s="33">
        <f>SUM(D29,H29,L29,T29,AB29,P29,X29,AF29)</f>
        <v>13394</v>
      </c>
      <c r="D3" s="109" t="s">
        <v>5</v>
      </c>
      <c r="E3" s="109"/>
      <c r="F3" s="109"/>
      <c r="G3" s="24"/>
      <c r="H3" s="50" t="s">
        <v>6</v>
      </c>
      <c r="J3" s="25"/>
    </row>
    <row r="4" spans="2:32" s="23" customFormat="1" ht="21" x14ac:dyDescent="0.35">
      <c r="B4" s="43" t="s">
        <v>2</v>
      </c>
      <c r="C4" s="44">
        <f>SUM(D43,H43,L43,T43,AB43,P43,X43,AF43)</f>
        <v>10095</v>
      </c>
      <c r="D4" s="45" t="s">
        <v>7</v>
      </c>
      <c r="E4" s="42"/>
      <c r="F4" s="42"/>
      <c r="G4" s="24"/>
      <c r="H4" s="29">
        <v>0.05</v>
      </c>
      <c r="J4" s="25"/>
    </row>
    <row r="5" spans="2:32" ht="15.75" thickBot="1" x14ac:dyDescent="0.3"/>
    <row r="6" spans="2:32" ht="21.75" thickBot="1" x14ac:dyDescent="0.4">
      <c r="B6" s="52" t="s">
        <v>8</v>
      </c>
      <c r="C6" s="98">
        <f>D7</f>
        <v>1</v>
      </c>
      <c r="D6" s="99"/>
      <c r="F6" s="52" t="s">
        <v>9</v>
      </c>
      <c r="G6" s="98">
        <f>H7</f>
        <v>1</v>
      </c>
      <c r="H6" s="99"/>
      <c r="J6" s="52" t="s">
        <v>10</v>
      </c>
      <c r="K6" s="98">
        <f>L7</f>
        <v>556</v>
      </c>
      <c r="L6" s="99"/>
      <c r="N6" s="52" t="s">
        <v>11</v>
      </c>
      <c r="O6" s="98"/>
      <c r="P6" s="99"/>
      <c r="R6" s="52" t="s">
        <v>12</v>
      </c>
      <c r="S6" s="98" t="s">
        <v>13</v>
      </c>
      <c r="T6" s="99"/>
      <c r="U6" s="21"/>
      <c r="V6" s="52" t="s">
        <v>14</v>
      </c>
      <c r="W6" s="98"/>
      <c r="X6" s="99"/>
      <c r="Z6" s="52" t="s">
        <v>15</v>
      </c>
      <c r="AA6" s="98" t="s">
        <v>16</v>
      </c>
      <c r="AB6" s="99"/>
      <c r="AD6" s="52" t="s">
        <v>88</v>
      </c>
      <c r="AE6" s="98" t="s">
        <v>16</v>
      </c>
      <c r="AF6" s="99"/>
    </row>
    <row r="7" spans="2:32" x14ac:dyDescent="0.25">
      <c r="B7" s="100" t="s">
        <v>17</v>
      </c>
      <c r="C7" s="101"/>
      <c r="D7" s="53">
        <v>1</v>
      </c>
      <c r="F7" s="100" t="s">
        <v>18</v>
      </c>
      <c r="G7" s="101"/>
      <c r="H7" s="53">
        <v>1</v>
      </c>
      <c r="J7" s="100" t="s">
        <v>18</v>
      </c>
      <c r="K7" s="101"/>
      <c r="L7" s="53">
        <v>556</v>
      </c>
      <c r="N7" s="100" t="s">
        <v>18</v>
      </c>
      <c r="O7" s="101"/>
      <c r="P7" s="53"/>
      <c r="R7" s="100" t="s">
        <v>17</v>
      </c>
      <c r="S7" s="101"/>
      <c r="T7" s="53">
        <v>1</v>
      </c>
      <c r="U7" s="22"/>
      <c r="V7" s="100" t="s">
        <v>18</v>
      </c>
      <c r="W7" s="101"/>
      <c r="X7" s="53"/>
      <c r="Z7" s="100" t="s">
        <v>18</v>
      </c>
      <c r="AA7" s="101"/>
      <c r="AB7" s="40"/>
      <c r="AD7" s="100" t="s">
        <v>18</v>
      </c>
      <c r="AE7" s="101"/>
      <c r="AF7" s="40">
        <v>1</v>
      </c>
    </row>
    <row r="8" spans="2:32" x14ac:dyDescent="0.25">
      <c r="B8" s="104" t="s">
        <v>19</v>
      </c>
      <c r="C8" s="105"/>
      <c r="D8" s="54">
        <v>1000</v>
      </c>
      <c r="F8" s="104" t="s">
        <v>19</v>
      </c>
      <c r="G8" s="105"/>
      <c r="H8" s="54">
        <v>500</v>
      </c>
      <c r="J8" s="104" t="s">
        <v>19</v>
      </c>
      <c r="K8" s="105"/>
      <c r="L8" s="54">
        <v>2000</v>
      </c>
      <c r="N8" s="104" t="s">
        <v>19</v>
      </c>
      <c r="O8" s="105"/>
      <c r="P8" s="54"/>
      <c r="R8" s="104" t="s">
        <v>19</v>
      </c>
      <c r="S8" s="105"/>
      <c r="T8" s="54">
        <v>1000</v>
      </c>
      <c r="U8" s="22"/>
      <c r="V8" s="104" t="s">
        <v>19</v>
      </c>
      <c r="W8" s="105"/>
      <c r="X8" s="54"/>
      <c r="Z8" s="102" t="s">
        <v>19</v>
      </c>
      <c r="AA8" s="103"/>
      <c r="AB8" s="41"/>
      <c r="AD8" s="102" t="s">
        <v>90</v>
      </c>
      <c r="AE8" s="103"/>
      <c r="AF8" s="41">
        <v>1000</v>
      </c>
    </row>
    <row r="9" spans="2:32" x14ac:dyDescent="0.25">
      <c r="B9" s="104" t="s">
        <v>20</v>
      </c>
      <c r="C9" s="105"/>
      <c r="D9" s="53">
        <v>12</v>
      </c>
      <c r="F9" s="104" t="s">
        <v>20</v>
      </c>
      <c r="G9" s="105"/>
      <c r="H9" s="53">
        <v>12</v>
      </c>
      <c r="J9" s="104" t="s">
        <v>20</v>
      </c>
      <c r="K9" s="105"/>
      <c r="L9" s="53"/>
      <c r="N9" s="104" t="s">
        <v>20</v>
      </c>
      <c r="O9" s="105"/>
      <c r="P9" s="53"/>
      <c r="R9" s="104" t="s">
        <v>20</v>
      </c>
      <c r="S9" s="105"/>
      <c r="T9" s="53">
        <v>12</v>
      </c>
      <c r="U9" s="22"/>
      <c r="V9" s="104" t="s">
        <v>20</v>
      </c>
      <c r="W9" s="105"/>
      <c r="X9" s="53"/>
      <c r="Z9" s="104" t="s">
        <v>20</v>
      </c>
      <c r="AA9" s="105"/>
      <c r="AB9" s="41">
        <v>9</v>
      </c>
      <c r="AD9" s="104" t="s">
        <v>20</v>
      </c>
      <c r="AE9" s="105"/>
      <c r="AF9" s="41">
        <v>9</v>
      </c>
    </row>
    <row r="10" spans="2:32" x14ac:dyDescent="0.25">
      <c r="B10" s="106" t="s">
        <v>21</v>
      </c>
      <c r="C10" s="107"/>
      <c r="D10" s="55">
        <f>SUM(D14:D23)*D7</f>
        <v>13</v>
      </c>
      <c r="F10" s="106" t="s">
        <v>21</v>
      </c>
      <c r="G10" s="107"/>
      <c r="H10" s="55">
        <f>SUM(H14:H20)*H7</f>
        <v>6</v>
      </c>
      <c r="J10" s="106" t="s">
        <v>21</v>
      </c>
      <c r="K10" s="107"/>
      <c r="L10" s="55">
        <f>SUM(L14:L23)*L7</f>
        <v>12232</v>
      </c>
      <c r="N10" s="106" t="s">
        <v>21</v>
      </c>
      <c r="O10" s="107"/>
      <c r="P10" s="55">
        <f>SUM(P14:P20)*P7</f>
        <v>0</v>
      </c>
      <c r="R10" s="106" t="s">
        <v>21</v>
      </c>
      <c r="S10" s="107"/>
      <c r="T10" s="55">
        <f>SUM(T14:T21)*T7</f>
        <v>15</v>
      </c>
      <c r="U10" s="22"/>
      <c r="V10" s="106" t="s">
        <v>21</v>
      </c>
      <c r="W10" s="107"/>
      <c r="X10" s="55">
        <f>SUM(X14:X23)*X7</f>
        <v>0</v>
      </c>
      <c r="Z10" s="106" t="s">
        <v>21</v>
      </c>
      <c r="AA10" s="107"/>
      <c r="AB10" s="55">
        <f>SUM(AB14:AB20)*AB7</f>
        <v>0</v>
      </c>
      <c r="AD10" s="106" t="s">
        <v>21</v>
      </c>
      <c r="AE10" s="107"/>
      <c r="AF10" s="55">
        <f>SUM(AF14:AF20)*AF7</f>
        <v>13</v>
      </c>
    </row>
    <row r="11" spans="2:32" x14ac:dyDescent="0.25">
      <c r="B11" s="94" t="s">
        <v>22</v>
      </c>
      <c r="C11" s="95"/>
      <c r="D11" s="56">
        <f>IFERROR(D10/D9,"")</f>
        <v>1.0833333333333333</v>
      </c>
      <c r="F11" s="94" t="s">
        <v>22</v>
      </c>
      <c r="G11" s="95"/>
      <c r="H11" s="56">
        <f>H10/H9</f>
        <v>0.5</v>
      </c>
      <c r="J11" s="94" t="s">
        <v>22</v>
      </c>
      <c r="K11" s="95"/>
      <c r="L11" s="56" t="e">
        <f>L10/L9</f>
        <v>#DIV/0!</v>
      </c>
      <c r="N11" s="94" t="s">
        <v>22</v>
      </c>
      <c r="O11" s="95"/>
      <c r="P11" s="56" t="e">
        <f>P10/P9</f>
        <v>#DIV/0!</v>
      </c>
      <c r="R11" s="94" t="s">
        <v>22</v>
      </c>
      <c r="S11" s="95"/>
      <c r="T11" s="56">
        <f>T10/T9</f>
        <v>1.25</v>
      </c>
      <c r="U11" s="20"/>
      <c r="V11" s="94" t="s">
        <v>22</v>
      </c>
      <c r="W11" s="95"/>
      <c r="X11" s="56" t="e">
        <f>X10/X9</f>
        <v>#DIV/0!</v>
      </c>
      <c r="Z11" s="94" t="s">
        <v>22</v>
      </c>
      <c r="AA11" s="95"/>
      <c r="AB11" s="56">
        <f>AB10/AB9</f>
        <v>0</v>
      </c>
      <c r="AD11" s="94" t="s">
        <v>22</v>
      </c>
      <c r="AE11" s="95"/>
      <c r="AF11" s="56">
        <f>AF10/AF9</f>
        <v>1.4444444444444444</v>
      </c>
    </row>
    <row r="12" spans="2:32" x14ac:dyDescent="0.25">
      <c r="B12" s="15"/>
      <c r="C12" s="16"/>
      <c r="D12" s="17"/>
      <c r="F12" s="15"/>
      <c r="G12" s="16"/>
      <c r="H12" s="17"/>
      <c r="J12" s="15"/>
      <c r="K12" s="16"/>
      <c r="L12" s="17"/>
      <c r="N12" s="15"/>
      <c r="O12" s="16"/>
      <c r="P12" s="17"/>
      <c r="R12" s="15"/>
      <c r="S12" s="16"/>
      <c r="T12" s="17"/>
      <c r="U12" s="20"/>
      <c r="V12" s="15"/>
      <c r="W12" s="16"/>
      <c r="X12" s="17"/>
      <c r="Z12" s="96" t="s">
        <v>23</v>
      </c>
      <c r="AA12" s="97"/>
      <c r="AB12" s="12"/>
      <c r="AD12" s="96" t="s">
        <v>23</v>
      </c>
      <c r="AE12" s="97"/>
      <c r="AF12" s="12"/>
    </row>
    <row r="13" spans="2:32" ht="15.75" thickBot="1" x14ac:dyDescent="0.3">
      <c r="B13" s="2" t="s">
        <v>24</v>
      </c>
      <c r="C13" s="3" t="s">
        <v>25</v>
      </c>
      <c r="D13" s="4" t="s">
        <v>26</v>
      </c>
      <c r="F13" s="2" t="s">
        <v>24</v>
      </c>
      <c r="G13" s="3" t="s">
        <v>25</v>
      </c>
      <c r="H13" s="4" t="s">
        <v>26</v>
      </c>
      <c r="J13" s="2" t="s">
        <v>24</v>
      </c>
      <c r="K13" s="3" t="s">
        <v>25</v>
      </c>
      <c r="L13" s="4" t="s">
        <v>26</v>
      </c>
      <c r="N13" s="2" t="s">
        <v>24</v>
      </c>
      <c r="O13" s="3" t="s">
        <v>25</v>
      </c>
      <c r="P13" s="4" t="s">
        <v>26</v>
      </c>
      <c r="R13" s="2" t="s">
        <v>24</v>
      </c>
      <c r="S13" s="3" t="s">
        <v>25</v>
      </c>
      <c r="T13" s="4" t="s">
        <v>26</v>
      </c>
      <c r="V13" s="2" t="s">
        <v>24</v>
      </c>
      <c r="W13" s="3" t="s">
        <v>25</v>
      </c>
      <c r="X13" s="4" t="s">
        <v>26</v>
      </c>
      <c r="Z13" s="2" t="s">
        <v>24</v>
      </c>
      <c r="AA13" s="3" t="s">
        <v>25</v>
      </c>
      <c r="AB13" s="4" t="s">
        <v>26</v>
      </c>
      <c r="AD13" s="2" t="s">
        <v>24</v>
      </c>
      <c r="AE13" s="3" t="s">
        <v>25</v>
      </c>
      <c r="AF13" s="4" t="s">
        <v>26</v>
      </c>
    </row>
    <row r="14" spans="2:32" x14ac:dyDescent="0.25">
      <c r="B14" s="5" t="s">
        <v>27</v>
      </c>
      <c r="C14" s="6">
        <v>250</v>
      </c>
      <c r="D14" s="7">
        <f>ROUNDDOWN(D$8/C14,0)</f>
        <v>4</v>
      </c>
      <c r="F14" s="5" t="s">
        <v>27</v>
      </c>
      <c r="G14" s="6">
        <v>250</v>
      </c>
      <c r="H14" s="7">
        <f>ROUNDDOWN(H$8/G14,0)</f>
        <v>2</v>
      </c>
      <c r="J14" s="5" t="s">
        <v>27</v>
      </c>
      <c r="K14" s="6">
        <v>250</v>
      </c>
      <c r="L14" s="7">
        <f>ROUNDDOWN(L$8/K14,0)</f>
        <v>8</v>
      </c>
      <c r="N14" s="5" t="s">
        <v>28</v>
      </c>
      <c r="O14" s="9">
        <v>250</v>
      </c>
      <c r="P14" s="7">
        <f>ROUNDDOWN(P$8/O14,0)</f>
        <v>0</v>
      </c>
      <c r="R14" s="5" t="s">
        <v>28</v>
      </c>
      <c r="S14" s="9">
        <v>250</v>
      </c>
      <c r="T14" s="7">
        <f>ROUNDDOWN(T$8/S14,0)</f>
        <v>4</v>
      </c>
      <c r="U14" s="19"/>
      <c r="V14" s="5" t="s">
        <v>28</v>
      </c>
      <c r="W14" s="9">
        <v>250</v>
      </c>
      <c r="X14" s="7">
        <f>ROUNDDOWN(X$8/W14,0)</f>
        <v>0</v>
      </c>
      <c r="Z14" s="5" t="s">
        <v>28</v>
      </c>
      <c r="AA14" s="6">
        <f>IF($AB$8&gt;1,250,15000)</f>
        <v>15000</v>
      </c>
      <c r="AB14" s="7">
        <f>ROUNDDOWN(IF(AB$8&gt;1,AB$8/AA14,AB$12/AA14),0)</f>
        <v>0</v>
      </c>
      <c r="AD14" s="5" t="s">
        <v>28</v>
      </c>
      <c r="AE14" s="6">
        <v>250</v>
      </c>
      <c r="AF14" s="7">
        <f>ROUNDDOWN(IF(AF$8&gt;1,AF$8/AE14,AF$12/AE14),0)</f>
        <v>4</v>
      </c>
    </row>
    <row r="15" spans="2:32" x14ac:dyDescent="0.25">
      <c r="B15" s="8" t="s">
        <v>29</v>
      </c>
      <c r="C15" s="9">
        <v>1000</v>
      </c>
      <c r="D15" s="7">
        <f t="shared" ref="D15:D19" si="0">ROUNDDOWN(D$8/C15,0)</f>
        <v>1</v>
      </c>
      <c r="F15" s="8" t="s">
        <v>29</v>
      </c>
      <c r="G15" s="9">
        <v>1000</v>
      </c>
      <c r="H15" s="7">
        <f t="shared" ref="H15:H19" si="1">ROUNDDOWN(H$8/G15,0)</f>
        <v>0</v>
      </c>
      <c r="J15" s="8" t="s">
        <v>29</v>
      </c>
      <c r="K15" s="9">
        <v>1000</v>
      </c>
      <c r="L15" s="7">
        <f t="shared" ref="L15:L18" si="2">ROUNDDOWN(L$8/K15,0)</f>
        <v>2</v>
      </c>
      <c r="N15" s="8" t="s">
        <v>29</v>
      </c>
      <c r="O15" s="9">
        <v>1000</v>
      </c>
      <c r="P15" s="7">
        <f>ROUNDDOWN(P$8/O15,0)</f>
        <v>0</v>
      </c>
      <c r="R15" s="8" t="s">
        <v>29</v>
      </c>
      <c r="S15" s="9">
        <v>1000</v>
      </c>
      <c r="T15" s="7">
        <f t="shared" ref="T15:T18" si="3">ROUNDDOWN(T$8/S15,0)</f>
        <v>1</v>
      </c>
      <c r="U15" s="19"/>
      <c r="V15" s="8" t="s">
        <v>29</v>
      </c>
      <c r="W15" s="9">
        <v>1000</v>
      </c>
      <c r="X15" s="7">
        <f t="shared" ref="X15:X23" si="4">ROUNDDOWN(X$8/W15,0)</f>
        <v>0</v>
      </c>
      <c r="Z15" s="8" t="s">
        <v>30</v>
      </c>
      <c r="AA15" s="6"/>
      <c r="AB15" s="7">
        <v>0</v>
      </c>
      <c r="AD15" s="8" t="s">
        <v>30</v>
      </c>
      <c r="AE15" s="6">
        <v>500</v>
      </c>
      <c r="AF15" s="7">
        <f t="shared" ref="AF15:AF19" si="5">ROUNDDOWN(IF(AF$8&gt;1,AF$8/AE15,AF$12/AE15),0)</f>
        <v>2</v>
      </c>
    </row>
    <row r="16" spans="2:32" x14ac:dyDescent="0.25">
      <c r="B16" s="8" t="s">
        <v>30</v>
      </c>
      <c r="C16" s="9">
        <v>500</v>
      </c>
      <c r="D16" s="7">
        <f t="shared" si="0"/>
        <v>2</v>
      </c>
      <c r="F16" s="8" t="s">
        <v>30</v>
      </c>
      <c r="G16" s="9">
        <v>500</v>
      </c>
      <c r="H16" s="7">
        <f t="shared" si="1"/>
        <v>1</v>
      </c>
      <c r="J16" s="8" t="s">
        <v>31</v>
      </c>
      <c r="K16" s="9">
        <v>500</v>
      </c>
      <c r="L16" s="7">
        <f t="shared" si="2"/>
        <v>4</v>
      </c>
      <c r="N16" s="8" t="s">
        <v>31</v>
      </c>
      <c r="O16" s="9">
        <v>500</v>
      </c>
      <c r="P16" s="7">
        <f t="shared" ref="P16:P19" si="6">ROUNDDOWN(P$8/O16,0)</f>
        <v>0</v>
      </c>
      <c r="R16" s="8" t="s">
        <v>30</v>
      </c>
      <c r="S16" s="9">
        <v>500</v>
      </c>
      <c r="T16" s="7">
        <f t="shared" si="3"/>
        <v>2</v>
      </c>
      <c r="U16" s="19"/>
      <c r="V16" s="8" t="s">
        <v>30</v>
      </c>
      <c r="W16" s="9">
        <v>500</v>
      </c>
      <c r="X16" s="7">
        <f t="shared" si="4"/>
        <v>0</v>
      </c>
      <c r="Z16" s="8" t="s">
        <v>32</v>
      </c>
      <c r="AA16" s="6">
        <f>IF($AB$8&gt;1,500,30000)</f>
        <v>30000</v>
      </c>
      <c r="AB16" s="7">
        <f t="shared" ref="AB16:AB18" si="7">ROUNDDOWN(IF(AB$8&gt;1,AB$8/AA16,AB$12/AA16),0)</f>
        <v>0</v>
      </c>
      <c r="AD16" s="8" t="s">
        <v>32</v>
      </c>
      <c r="AE16" s="6">
        <v>500</v>
      </c>
      <c r="AF16" s="7">
        <f t="shared" si="5"/>
        <v>2</v>
      </c>
    </row>
    <row r="17" spans="2:32" x14ac:dyDescent="0.25">
      <c r="B17" s="8" t="s">
        <v>31</v>
      </c>
      <c r="C17" s="9">
        <v>500</v>
      </c>
      <c r="D17" s="7">
        <f t="shared" si="0"/>
        <v>2</v>
      </c>
      <c r="F17" s="8" t="s">
        <v>31</v>
      </c>
      <c r="G17" s="9">
        <v>500</v>
      </c>
      <c r="H17" s="7">
        <f>ROUNDDOWN(H$8/G17,0)</f>
        <v>1</v>
      </c>
      <c r="J17" s="8" t="s">
        <v>33</v>
      </c>
      <c r="K17" s="9">
        <v>500</v>
      </c>
      <c r="L17" s="7">
        <f t="shared" si="2"/>
        <v>4</v>
      </c>
      <c r="N17" s="8" t="s">
        <v>34</v>
      </c>
      <c r="O17" s="9">
        <v>500</v>
      </c>
      <c r="P17" s="7">
        <f t="shared" si="6"/>
        <v>0</v>
      </c>
      <c r="R17" s="8" t="s">
        <v>31</v>
      </c>
      <c r="S17" s="9">
        <v>500</v>
      </c>
      <c r="T17" s="7">
        <f t="shared" si="3"/>
        <v>2</v>
      </c>
      <c r="U17" s="19"/>
      <c r="V17" s="8" t="s">
        <v>31</v>
      </c>
      <c r="W17" s="9">
        <v>500</v>
      </c>
      <c r="X17" s="7">
        <f t="shared" si="4"/>
        <v>0</v>
      </c>
      <c r="Z17" s="26" t="s">
        <v>35</v>
      </c>
      <c r="AA17" s="6">
        <f>IF($AB$8&gt;1,500,30000)</f>
        <v>30000</v>
      </c>
      <c r="AB17" s="7">
        <f t="shared" si="7"/>
        <v>0</v>
      </c>
      <c r="AD17" s="26" t="s">
        <v>35</v>
      </c>
      <c r="AE17" s="6">
        <v>500</v>
      </c>
      <c r="AF17" s="7">
        <f t="shared" si="5"/>
        <v>2</v>
      </c>
    </row>
    <row r="18" spans="2:32" x14ac:dyDescent="0.25">
      <c r="B18" s="8" t="s">
        <v>36</v>
      </c>
      <c r="C18" s="9">
        <v>500</v>
      </c>
      <c r="D18" s="7">
        <f t="shared" si="0"/>
        <v>2</v>
      </c>
      <c r="F18" s="8" t="s">
        <v>36</v>
      </c>
      <c r="G18" s="9">
        <v>500</v>
      </c>
      <c r="H18" s="7">
        <f t="shared" si="1"/>
        <v>1</v>
      </c>
      <c r="J18" s="8" t="s">
        <v>37</v>
      </c>
      <c r="K18" s="9">
        <v>500</v>
      </c>
      <c r="L18" s="7">
        <f t="shared" si="2"/>
        <v>4</v>
      </c>
      <c r="N18" s="8" t="s">
        <v>33</v>
      </c>
      <c r="O18" s="9">
        <v>500</v>
      </c>
      <c r="P18" s="7">
        <f t="shared" si="6"/>
        <v>0</v>
      </c>
      <c r="R18" s="8" t="s">
        <v>38</v>
      </c>
      <c r="S18" s="9">
        <v>500</v>
      </c>
      <c r="T18" s="7">
        <f t="shared" si="3"/>
        <v>2</v>
      </c>
      <c r="U18" s="19"/>
      <c r="V18" s="8" t="s">
        <v>38</v>
      </c>
      <c r="W18" s="9">
        <v>500</v>
      </c>
      <c r="X18" s="7">
        <f t="shared" si="4"/>
        <v>0</v>
      </c>
      <c r="Z18" s="8" t="s">
        <v>39</v>
      </c>
      <c r="AA18" s="6">
        <f>IF($AB$8&gt;1,1000,30000)</f>
        <v>30000</v>
      </c>
      <c r="AB18" s="7">
        <f t="shared" si="7"/>
        <v>0</v>
      </c>
      <c r="AD18" s="8" t="s">
        <v>39</v>
      </c>
      <c r="AE18" s="6">
        <v>1000</v>
      </c>
      <c r="AF18" s="7">
        <f t="shared" si="5"/>
        <v>1</v>
      </c>
    </row>
    <row r="19" spans="2:32" ht="15.75" thickBot="1" x14ac:dyDescent="0.3">
      <c r="B19" s="8" t="s">
        <v>38</v>
      </c>
      <c r="C19" s="9">
        <v>500</v>
      </c>
      <c r="D19" s="7">
        <f t="shared" si="0"/>
        <v>2</v>
      </c>
      <c r="F19" s="8" t="s">
        <v>38</v>
      </c>
      <c r="G19" s="9">
        <v>500</v>
      </c>
      <c r="H19" s="7">
        <f t="shared" si="1"/>
        <v>1</v>
      </c>
      <c r="J19" s="2"/>
      <c r="K19" s="10"/>
      <c r="L19" s="7"/>
      <c r="N19" s="8" t="s">
        <v>37</v>
      </c>
      <c r="O19" s="9">
        <v>500</v>
      </c>
      <c r="P19" s="7">
        <f t="shared" si="6"/>
        <v>0</v>
      </c>
      <c r="R19" s="8" t="s">
        <v>40</v>
      </c>
      <c r="S19" s="9">
        <v>500</v>
      </c>
      <c r="T19" s="7">
        <f>ROUNDDOWN(T$8/S19,0)</f>
        <v>2</v>
      </c>
      <c r="U19" s="19"/>
      <c r="V19" s="8" t="s">
        <v>40</v>
      </c>
      <c r="W19" s="9">
        <v>500</v>
      </c>
      <c r="X19" s="7">
        <f t="shared" si="4"/>
        <v>0</v>
      </c>
      <c r="Z19" s="8" t="s">
        <v>41</v>
      </c>
      <c r="AA19" s="6"/>
      <c r="AB19" s="7">
        <v>0</v>
      </c>
      <c r="AD19" s="8" t="s">
        <v>89</v>
      </c>
      <c r="AE19" s="6">
        <v>500</v>
      </c>
      <c r="AF19" s="7">
        <f t="shared" si="5"/>
        <v>2</v>
      </c>
    </row>
    <row r="20" spans="2:32" ht="15.75" thickBot="1" x14ac:dyDescent="0.3">
      <c r="B20" s="2"/>
      <c r="C20" s="10"/>
      <c r="D20" s="7"/>
      <c r="F20" s="2"/>
      <c r="G20" s="10"/>
      <c r="H20" s="7"/>
      <c r="J20" s="8"/>
      <c r="K20" s="9"/>
      <c r="L20" s="7"/>
      <c r="N20" s="2"/>
      <c r="O20" s="9"/>
      <c r="P20" s="11"/>
      <c r="R20" s="8" t="s">
        <v>42</v>
      </c>
      <c r="S20" s="9">
        <v>500</v>
      </c>
      <c r="T20" s="7">
        <f>ROUNDDOWN(T$8/S20,0)</f>
        <v>2</v>
      </c>
      <c r="U20" s="19"/>
      <c r="V20" s="8" t="s">
        <v>42</v>
      </c>
      <c r="W20" s="9">
        <v>500</v>
      </c>
      <c r="X20" s="7">
        <f t="shared" si="4"/>
        <v>0</v>
      </c>
      <c r="Z20" s="2" t="s">
        <v>43</v>
      </c>
      <c r="AA20" s="10"/>
      <c r="AB20" s="11">
        <v>0</v>
      </c>
      <c r="AD20" s="2" t="s">
        <v>43</v>
      </c>
      <c r="AE20" s="10"/>
      <c r="AF20" s="7"/>
    </row>
    <row r="21" spans="2:32" ht="15.75" thickBot="1" x14ac:dyDescent="0.3">
      <c r="B21" s="57"/>
      <c r="C21" s="57"/>
      <c r="D21" s="57"/>
      <c r="J21" s="8"/>
      <c r="K21" s="9"/>
      <c r="L21" s="7"/>
      <c r="R21" s="58"/>
      <c r="S21" s="9"/>
      <c r="T21" s="11"/>
      <c r="U21" s="19"/>
      <c r="V21" s="58"/>
      <c r="W21" s="9"/>
      <c r="X21" s="7"/>
    </row>
    <row r="22" spans="2:32" x14ac:dyDescent="0.25">
      <c r="B22" s="57"/>
      <c r="C22" s="57"/>
      <c r="D22" s="57"/>
      <c r="J22" s="8"/>
      <c r="K22" s="9"/>
      <c r="L22" s="7"/>
      <c r="V22" s="58" t="s">
        <v>44</v>
      </c>
      <c r="W22" s="59">
        <v>500</v>
      </c>
      <c r="X22" s="7">
        <f t="shared" si="4"/>
        <v>0</v>
      </c>
    </row>
    <row r="23" spans="2:32" ht="15.75" thickBot="1" x14ac:dyDescent="0.3">
      <c r="B23" s="57"/>
      <c r="C23" s="57"/>
      <c r="D23" s="57"/>
      <c r="J23" s="2"/>
      <c r="K23" s="10"/>
      <c r="L23" s="11"/>
      <c r="V23" s="60" t="s">
        <v>45</v>
      </c>
      <c r="W23" s="61">
        <v>500</v>
      </c>
      <c r="X23" s="7">
        <f t="shared" si="4"/>
        <v>0</v>
      </c>
    </row>
    <row r="24" spans="2:32" ht="15.75" thickBot="1" x14ac:dyDescent="0.3">
      <c r="C24" s="19"/>
      <c r="D24" s="19"/>
      <c r="V24" s="19"/>
      <c r="W24" s="19"/>
      <c r="X24" s="19"/>
    </row>
    <row r="25" spans="2:32" ht="21.75" thickBot="1" x14ac:dyDescent="0.4">
      <c r="B25" s="52" t="str">
        <f>B6</f>
        <v>Retroescavadeira</v>
      </c>
      <c r="C25" s="98" t="s">
        <v>46</v>
      </c>
      <c r="D25" s="99"/>
      <c r="F25" s="52" t="str">
        <f>F6</f>
        <v>Pá carregadeira</v>
      </c>
      <c r="G25" s="98" t="s">
        <v>46</v>
      </c>
      <c r="H25" s="99"/>
      <c r="J25" s="52" t="str">
        <f>J6</f>
        <v>Escavadeira</v>
      </c>
      <c r="K25" s="98" t="s">
        <v>46</v>
      </c>
      <c r="L25" s="99"/>
      <c r="N25" s="52" t="str">
        <f>N6</f>
        <v>Tratores de esteira</v>
      </c>
      <c r="O25" s="98" t="s">
        <v>46</v>
      </c>
      <c r="P25" s="99"/>
      <c r="R25" s="52" t="str">
        <f>R6</f>
        <v>Motoniveladora</v>
      </c>
      <c r="S25" s="98" t="s">
        <v>46</v>
      </c>
      <c r="T25" s="99"/>
      <c r="U25" s="21"/>
      <c r="V25" s="52" t="str">
        <f>V6</f>
        <v>Motoniveladora com 6WD</v>
      </c>
      <c r="W25" s="98" t="s">
        <v>46</v>
      </c>
      <c r="X25" s="99"/>
      <c r="Z25" s="52" t="s">
        <v>15</v>
      </c>
      <c r="AA25" s="98" t="s">
        <v>16</v>
      </c>
      <c r="AB25" s="99"/>
      <c r="AD25" s="52" t="s">
        <v>88</v>
      </c>
      <c r="AE25" s="98" t="s">
        <v>16</v>
      </c>
      <c r="AF25" s="99"/>
    </row>
    <row r="26" spans="2:32" x14ac:dyDescent="0.25">
      <c r="B26" s="100" t="s">
        <v>17</v>
      </c>
      <c r="C26" s="101"/>
      <c r="D26" s="53">
        <f>D7</f>
        <v>1</v>
      </c>
      <c r="F26" s="100" t="s">
        <v>17</v>
      </c>
      <c r="G26" s="101"/>
      <c r="H26" s="53">
        <f>H7</f>
        <v>1</v>
      </c>
      <c r="J26" s="100" t="s">
        <v>17</v>
      </c>
      <c r="K26" s="101"/>
      <c r="L26" s="53">
        <f>L7</f>
        <v>556</v>
      </c>
      <c r="N26" s="100" t="s">
        <v>17</v>
      </c>
      <c r="O26" s="101"/>
      <c r="P26" s="53">
        <f>P7</f>
        <v>0</v>
      </c>
      <c r="R26" s="100" t="s">
        <v>17</v>
      </c>
      <c r="S26" s="101"/>
      <c r="T26" s="53">
        <f>T7</f>
        <v>1</v>
      </c>
      <c r="U26" s="22"/>
      <c r="V26" s="100" t="s">
        <v>17</v>
      </c>
      <c r="W26" s="101"/>
      <c r="X26" s="53">
        <f>X7</f>
        <v>0</v>
      </c>
      <c r="Z26" s="100" t="s">
        <v>18</v>
      </c>
      <c r="AA26" s="101"/>
      <c r="AB26" s="40">
        <f>AB7</f>
        <v>0</v>
      </c>
      <c r="AD26" s="100" t="s">
        <v>18</v>
      </c>
      <c r="AE26" s="101"/>
      <c r="AF26" s="40">
        <f>AF7</f>
        <v>1</v>
      </c>
    </row>
    <row r="27" spans="2:32" x14ac:dyDescent="0.25">
      <c r="B27" s="104" t="s">
        <v>19</v>
      </c>
      <c r="C27" s="105"/>
      <c r="D27" s="54">
        <f>D8</f>
        <v>1000</v>
      </c>
      <c r="F27" s="104" t="s">
        <v>19</v>
      </c>
      <c r="G27" s="105"/>
      <c r="H27" s="54">
        <f>H8</f>
        <v>500</v>
      </c>
      <c r="J27" s="104" t="s">
        <v>19</v>
      </c>
      <c r="K27" s="105"/>
      <c r="L27" s="54">
        <f>L8</f>
        <v>2000</v>
      </c>
      <c r="N27" s="104" t="s">
        <v>19</v>
      </c>
      <c r="O27" s="105"/>
      <c r="P27" s="54">
        <f>P8</f>
        <v>0</v>
      </c>
      <c r="R27" s="104" t="s">
        <v>19</v>
      </c>
      <c r="S27" s="105"/>
      <c r="T27" s="54">
        <f>T8</f>
        <v>1000</v>
      </c>
      <c r="U27" s="22"/>
      <c r="V27" s="104" t="s">
        <v>19</v>
      </c>
      <c r="W27" s="105"/>
      <c r="X27" s="54">
        <f>X8</f>
        <v>0</v>
      </c>
      <c r="Z27" s="102" t="s">
        <v>19</v>
      </c>
      <c r="AA27" s="103"/>
      <c r="AB27" s="41">
        <f>AB8</f>
        <v>0</v>
      </c>
      <c r="AD27" s="102" t="s">
        <v>90</v>
      </c>
      <c r="AE27" s="103"/>
      <c r="AF27" s="41">
        <f>AF8</f>
        <v>1000</v>
      </c>
    </row>
    <row r="28" spans="2:32" x14ac:dyDescent="0.25">
      <c r="B28" s="104" t="s">
        <v>20</v>
      </c>
      <c r="C28" s="105"/>
      <c r="D28" s="53">
        <f>D9</f>
        <v>12</v>
      </c>
      <c r="F28" s="104" t="s">
        <v>20</v>
      </c>
      <c r="G28" s="105"/>
      <c r="H28" s="53">
        <f>H9</f>
        <v>12</v>
      </c>
      <c r="J28" s="104" t="s">
        <v>20</v>
      </c>
      <c r="K28" s="105"/>
      <c r="L28" s="53">
        <f>L9</f>
        <v>0</v>
      </c>
      <c r="N28" s="104" t="s">
        <v>20</v>
      </c>
      <c r="O28" s="105"/>
      <c r="P28" s="53">
        <f>P9</f>
        <v>0</v>
      </c>
      <c r="R28" s="104" t="s">
        <v>20</v>
      </c>
      <c r="S28" s="105"/>
      <c r="T28" s="53">
        <f>T9</f>
        <v>12</v>
      </c>
      <c r="U28" s="22"/>
      <c r="V28" s="104" t="s">
        <v>20</v>
      </c>
      <c r="W28" s="105"/>
      <c r="X28" s="53">
        <f>X9</f>
        <v>0</v>
      </c>
      <c r="Z28" s="104" t="s">
        <v>20</v>
      </c>
      <c r="AA28" s="105"/>
      <c r="AB28" s="41">
        <f>AB9</f>
        <v>9</v>
      </c>
      <c r="AD28" s="104" t="s">
        <v>20</v>
      </c>
      <c r="AE28" s="105"/>
      <c r="AF28" s="41">
        <f>AF9</f>
        <v>9</v>
      </c>
    </row>
    <row r="29" spans="2:32" x14ac:dyDescent="0.25">
      <c r="B29" s="106" t="s">
        <v>21</v>
      </c>
      <c r="C29" s="107"/>
      <c r="D29" s="55">
        <f>SUM(D33:D42)*D26</f>
        <v>14</v>
      </c>
      <c r="F29" s="106" t="s">
        <v>21</v>
      </c>
      <c r="G29" s="107"/>
      <c r="H29" s="55">
        <f>SUM(H33:H42)*H26</f>
        <v>6</v>
      </c>
      <c r="J29" s="106" t="s">
        <v>21</v>
      </c>
      <c r="K29" s="107"/>
      <c r="L29" s="55">
        <f>SUM(L33:L42)*L26</f>
        <v>13344</v>
      </c>
      <c r="N29" s="106" t="s">
        <v>21</v>
      </c>
      <c r="O29" s="107"/>
      <c r="P29" s="55">
        <f>SUM(P33:P42)*P26</f>
        <v>0</v>
      </c>
      <c r="R29" s="106" t="s">
        <v>21</v>
      </c>
      <c r="S29" s="107"/>
      <c r="T29" s="55">
        <f>SUM(T33:T42)*T26</f>
        <v>16</v>
      </c>
      <c r="U29" s="22"/>
      <c r="V29" s="106" t="s">
        <v>21</v>
      </c>
      <c r="W29" s="107"/>
      <c r="X29" s="55">
        <f>SUM(X33:X42)*X26</f>
        <v>0</v>
      </c>
      <c r="Z29" s="106" t="s">
        <v>21</v>
      </c>
      <c r="AA29" s="107"/>
      <c r="AB29" s="55">
        <f>SUM(AB33:AB39)*AB26</f>
        <v>0</v>
      </c>
      <c r="AD29" s="106" t="s">
        <v>21</v>
      </c>
      <c r="AE29" s="107"/>
      <c r="AF29" s="55">
        <f>SUM(AF33:AF39)*AF26</f>
        <v>14</v>
      </c>
    </row>
    <row r="30" spans="2:32" x14ac:dyDescent="0.25">
      <c r="B30" s="94" t="s">
        <v>22</v>
      </c>
      <c r="C30" s="95"/>
      <c r="D30" s="56">
        <f>D29/D28</f>
        <v>1.1666666666666667</v>
      </c>
      <c r="F30" s="94" t="s">
        <v>22</v>
      </c>
      <c r="G30" s="95"/>
      <c r="H30" s="56">
        <f>H29/H28</f>
        <v>0.5</v>
      </c>
      <c r="J30" s="94" t="s">
        <v>22</v>
      </c>
      <c r="K30" s="95"/>
      <c r="L30" s="56" t="e">
        <f>L29/L28</f>
        <v>#DIV/0!</v>
      </c>
      <c r="N30" s="94" t="s">
        <v>22</v>
      </c>
      <c r="O30" s="95"/>
      <c r="P30" s="56" t="e">
        <f>P29/P28</f>
        <v>#DIV/0!</v>
      </c>
      <c r="R30" s="94" t="s">
        <v>22</v>
      </c>
      <c r="S30" s="95"/>
      <c r="T30" s="56">
        <f>T29/T28</f>
        <v>1.3333333333333333</v>
      </c>
      <c r="U30" s="20"/>
      <c r="V30" s="94" t="s">
        <v>22</v>
      </c>
      <c r="W30" s="95"/>
      <c r="X30" s="56" t="e">
        <f>X29/X28</f>
        <v>#DIV/0!</v>
      </c>
      <c r="Z30" s="94" t="s">
        <v>22</v>
      </c>
      <c r="AA30" s="95"/>
      <c r="AB30" s="56">
        <f>AB29/AB28</f>
        <v>0</v>
      </c>
      <c r="AD30" s="94" t="s">
        <v>22</v>
      </c>
      <c r="AE30" s="95"/>
      <c r="AF30" s="56">
        <f>AF29/AF28</f>
        <v>1.5555555555555556</v>
      </c>
    </row>
    <row r="31" spans="2:32" x14ac:dyDescent="0.25">
      <c r="B31" s="15"/>
      <c r="C31" s="16"/>
      <c r="D31" s="17"/>
      <c r="F31" s="15"/>
      <c r="G31" s="16"/>
      <c r="H31" s="17"/>
      <c r="J31" s="15"/>
      <c r="K31" s="16"/>
      <c r="L31" s="17"/>
      <c r="N31" s="15"/>
      <c r="O31" s="16"/>
      <c r="P31" s="17"/>
      <c r="R31" s="15"/>
      <c r="S31" s="16"/>
      <c r="T31" s="17"/>
      <c r="U31" s="20"/>
      <c r="V31" s="15"/>
      <c r="W31" s="16"/>
      <c r="X31" s="17"/>
      <c r="Z31" s="96" t="s">
        <v>47</v>
      </c>
      <c r="AA31" s="97"/>
      <c r="AB31" s="12"/>
      <c r="AD31" s="96" t="s">
        <v>23</v>
      </c>
      <c r="AE31" s="97"/>
      <c r="AF31" s="12"/>
    </row>
    <row r="32" spans="2:32" ht="15.75" thickBot="1" x14ac:dyDescent="0.3">
      <c r="B32" s="2" t="s">
        <v>24</v>
      </c>
      <c r="C32" s="3" t="s">
        <v>25</v>
      </c>
      <c r="D32" s="4" t="s">
        <v>26</v>
      </c>
      <c r="F32" s="2" t="s">
        <v>24</v>
      </c>
      <c r="G32" s="3" t="s">
        <v>25</v>
      </c>
      <c r="H32" s="4" t="s">
        <v>26</v>
      </c>
      <c r="J32" s="2" t="s">
        <v>24</v>
      </c>
      <c r="K32" s="3" t="s">
        <v>25</v>
      </c>
      <c r="L32" s="4" t="s">
        <v>26</v>
      </c>
      <c r="N32" s="2" t="s">
        <v>24</v>
      </c>
      <c r="O32" s="3" t="s">
        <v>25</v>
      </c>
      <c r="P32" s="4" t="s">
        <v>26</v>
      </c>
      <c r="R32" s="2" t="s">
        <v>24</v>
      </c>
      <c r="S32" s="3" t="s">
        <v>25</v>
      </c>
      <c r="T32" s="4" t="s">
        <v>26</v>
      </c>
      <c r="V32" s="2" t="s">
        <v>24</v>
      </c>
      <c r="W32" s="3" t="s">
        <v>25</v>
      </c>
      <c r="X32" s="4" t="s">
        <v>26</v>
      </c>
      <c r="Z32" s="2" t="s">
        <v>24</v>
      </c>
      <c r="AA32" s="3" t="s">
        <v>25</v>
      </c>
      <c r="AB32" s="4" t="s">
        <v>26</v>
      </c>
      <c r="AD32" s="2" t="s">
        <v>24</v>
      </c>
      <c r="AE32" s="3" t="s">
        <v>25</v>
      </c>
      <c r="AF32" s="4" t="s">
        <v>26</v>
      </c>
    </row>
    <row r="33" spans="2:32" x14ac:dyDescent="0.25">
      <c r="B33" s="5" t="s">
        <v>27</v>
      </c>
      <c r="C33" s="6">
        <v>250</v>
      </c>
      <c r="D33" s="7">
        <f>ROUNDDOWN(D$8/C33,0)</f>
        <v>4</v>
      </c>
      <c r="F33" s="5" t="s">
        <v>27</v>
      </c>
      <c r="G33" s="6">
        <v>250</v>
      </c>
      <c r="H33" s="7">
        <f>ROUNDDOWN(H$8/G33,0)</f>
        <v>2</v>
      </c>
      <c r="J33" s="5" t="s">
        <v>27</v>
      </c>
      <c r="K33" s="6">
        <v>250</v>
      </c>
      <c r="L33" s="7">
        <f>ROUNDDOWN(L$8/K33,0)</f>
        <v>8</v>
      </c>
      <c r="N33" s="5" t="s">
        <v>28</v>
      </c>
      <c r="O33" s="9">
        <v>250</v>
      </c>
      <c r="P33" s="7">
        <f>ROUNDDOWN(P$8/O33,0)</f>
        <v>0</v>
      </c>
      <c r="R33" s="5" t="s">
        <v>28</v>
      </c>
      <c r="S33" s="9">
        <v>250</v>
      </c>
      <c r="T33" s="7">
        <f>ROUNDDOWN(T$8/S33,0)</f>
        <v>4</v>
      </c>
      <c r="U33" s="19"/>
      <c r="V33" s="5" t="s">
        <v>28</v>
      </c>
      <c r="W33" s="9">
        <v>250</v>
      </c>
      <c r="X33" s="7">
        <f>ROUNDDOWN(X$8/W33,0)</f>
        <v>0</v>
      </c>
      <c r="Z33" s="5" t="s">
        <v>28</v>
      </c>
      <c r="AA33" s="6">
        <f>IF($AB$8&gt;1,250,15000)</f>
        <v>15000</v>
      </c>
      <c r="AB33" s="7">
        <f>ROUNDDOWN(IF(AB$8&gt;1,AB$8/AA33,AB$12/AA33),0)</f>
        <v>0</v>
      </c>
      <c r="AD33" s="5" t="s">
        <v>28</v>
      </c>
      <c r="AE33" s="6">
        <v>250</v>
      </c>
      <c r="AF33" s="7">
        <f>ROUNDDOWN(IF(AF$8&gt;1,AF$8/AE33,AF$12/AE33),0)</f>
        <v>4</v>
      </c>
    </row>
    <row r="34" spans="2:32" x14ac:dyDescent="0.25">
      <c r="B34" s="8" t="s">
        <v>29</v>
      </c>
      <c r="C34" s="9">
        <v>1000</v>
      </c>
      <c r="D34" s="7">
        <f t="shared" ref="D34:D39" si="8">ROUNDDOWN(D$8/C34,0)</f>
        <v>1</v>
      </c>
      <c r="F34" s="8" t="s">
        <v>29</v>
      </c>
      <c r="G34" s="9">
        <v>1000</v>
      </c>
      <c r="H34" s="7">
        <f t="shared" ref="H34:H39" si="9">ROUNDDOWN(H$8/G34,0)</f>
        <v>0</v>
      </c>
      <c r="J34" s="8" t="s">
        <v>29</v>
      </c>
      <c r="K34" s="9">
        <v>1000</v>
      </c>
      <c r="L34" s="7">
        <f t="shared" ref="L34:L38" si="10">ROUNDDOWN(L$8/K34,0)</f>
        <v>2</v>
      </c>
      <c r="N34" s="8" t="s">
        <v>29</v>
      </c>
      <c r="O34" s="9">
        <v>1000</v>
      </c>
      <c r="P34" s="7">
        <f>ROUNDDOWN(P$8/O34,0)</f>
        <v>0</v>
      </c>
      <c r="R34" s="8" t="s">
        <v>29</v>
      </c>
      <c r="S34" s="9">
        <v>1000</v>
      </c>
      <c r="T34" s="7">
        <f t="shared" ref="T34:T37" si="11">ROUNDDOWN(T$8/S34,0)</f>
        <v>1</v>
      </c>
      <c r="U34" s="19"/>
      <c r="V34" s="8" t="s">
        <v>29</v>
      </c>
      <c r="W34" s="9">
        <v>1000</v>
      </c>
      <c r="X34" s="7">
        <f t="shared" ref="X34:X42" si="12">ROUNDDOWN(X$8/W34,0)</f>
        <v>0</v>
      </c>
      <c r="Z34" s="8" t="s">
        <v>30</v>
      </c>
      <c r="AA34" s="6">
        <f>IF($AB$8&gt;1,0,0)</f>
        <v>0</v>
      </c>
      <c r="AB34" s="7">
        <v>0</v>
      </c>
      <c r="AD34" s="8" t="s">
        <v>30</v>
      </c>
      <c r="AE34" s="6">
        <v>500</v>
      </c>
      <c r="AF34" s="7">
        <f t="shared" ref="AF34:AF39" si="13">ROUNDDOWN(IF(AF$8&gt;1,AF$8/AE34,AF$12/AE34),0)</f>
        <v>2</v>
      </c>
    </row>
    <row r="35" spans="2:32" x14ac:dyDescent="0.25">
      <c r="B35" s="8" t="s">
        <v>30</v>
      </c>
      <c r="C35" s="9">
        <v>500</v>
      </c>
      <c r="D35" s="7">
        <f t="shared" si="8"/>
        <v>2</v>
      </c>
      <c r="F35" s="8" t="s">
        <v>30</v>
      </c>
      <c r="G35" s="9">
        <v>500</v>
      </c>
      <c r="H35" s="7">
        <f t="shared" si="9"/>
        <v>1</v>
      </c>
      <c r="J35" s="8" t="s">
        <v>31</v>
      </c>
      <c r="K35" s="9">
        <v>500</v>
      </c>
      <c r="L35" s="7">
        <f t="shared" si="10"/>
        <v>4</v>
      </c>
      <c r="N35" s="8" t="s">
        <v>31</v>
      </c>
      <c r="O35" s="9">
        <v>500</v>
      </c>
      <c r="P35" s="7">
        <f t="shared" ref="P35:P39" si="14">ROUNDDOWN(P$8/O35,0)</f>
        <v>0</v>
      </c>
      <c r="R35" s="8" t="s">
        <v>30</v>
      </c>
      <c r="S35" s="9">
        <v>500</v>
      </c>
      <c r="T35" s="7">
        <f t="shared" si="11"/>
        <v>2</v>
      </c>
      <c r="U35" s="19"/>
      <c r="V35" s="8" t="s">
        <v>30</v>
      </c>
      <c r="W35" s="9">
        <v>500</v>
      </c>
      <c r="X35" s="7">
        <f t="shared" si="12"/>
        <v>0</v>
      </c>
      <c r="Z35" s="8" t="s">
        <v>32</v>
      </c>
      <c r="AA35" s="6">
        <f>IF($AB$8&gt;1,500,30000)</f>
        <v>30000</v>
      </c>
      <c r="AB35" s="7">
        <f t="shared" ref="AB35:AB37" si="15">ROUNDDOWN(IF(AB$8&gt;1,AB$8/AA35,AB$12/AA35),0)</f>
        <v>0</v>
      </c>
      <c r="AD35" s="8" t="s">
        <v>32</v>
      </c>
      <c r="AE35" s="6">
        <v>500</v>
      </c>
      <c r="AF35" s="7">
        <f t="shared" si="13"/>
        <v>2</v>
      </c>
    </row>
    <row r="36" spans="2:32" x14ac:dyDescent="0.25">
      <c r="B36" s="8" t="s">
        <v>31</v>
      </c>
      <c r="C36" s="9">
        <v>500</v>
      </c>
      <c r="D36" s="7">
        <f t="shared" si="8"/>
        <v>2</v>
      </c>
      <c r="F36" s="8" t="s">
        <v>31</v>
      </c>
      <c r="G36" s="9">
        <v>500</v>
      </c>
      <c r="H36" s="7">
        <f t="shared" si="9"/>
        <v>1</v>
      </c>
      <c r="J36" s="8" t="s">
        <v>33</v>
      </c>
      <c r="K36" s="9">
        <v>500</v>
      </c>
      <c r="L36" s="7">
        <f t="shared" si="10"/>
        <v>4</v>
      </c>
      <c r="N36" s="8" t="s">
        <v>34</v>
      </c>
      <c r="O36" s="9">
        <v>500</v>
      </c>
      <c r="P36" s="7">
        <f t="shared" si="14"/>
        <v>0</v>
      </c>
      <c r="R36" s="8" t="s">
        <v>31</v>
      </c>
      <c r="S36" s="9">
        <v>500</v>
      </c>
      <c r="T36" s="7">
        <f t="shared" si="11"/>
        <v>2</v>
      </c>
      <c r="U36" s="19"/>
      <c r="V36" s="8" t="s">
        <v>31</v>
      </c>
      <c r="W36" s="9">
        <v>500</v>
      </c>
      <c r="X36" s="7">
        <f t="shared" si="12"/>
        <v>0</v>
      </c>
      <c r="Z36" s="26" t="s">
        <v>35</v>
      </c>
      <c r="AA36" s="6">
        <f>IF($AB$8&gt;1,500,30000)</f>
        <v>30000</v>
      </c>
      <c r="AB36" s="7">
        <f t="shared" si="15"/>
        <v>0</v>
      </c>
      <c r="AD36" s="26" t="s">
        <v>35</v>
      </c>
      <c r="AE36" s="6">
        <v>500</v>
      </c>
      <c r="AF36" s="7">
        <f t="shared" si="13"/>
        <v>2</v>
      </c>
    </row>
    <row r="37" spans="2:32" x14ac:dyDescent="0.25">
      <c r="B37" s="8" t="s">
        <v>36</v>
      </c>
      <c r="C37" s="9">
        <v>500</v>
      </c>
      <c r="D37" s="7">
        <f t="shared" si="8"/>
        <v>2</v>
      </c>
      <c r="F37" s="8" t="s">
        <v>36</v>
      </c>
      <c r="G37" s="9">
        <v>500</v>
      </c>
      <c r="H37" s="7">
        <f t="shared" si="9"/>
        <v>1</v>
      </c>
      <c r="J37" s="8" t="s">
        <v>37</v>
      </c>
      <c r="K37" s="9">
        <v>500</v>
      </c>
      <c r="L37" s="7">
        <f t="shared" si="10"/>
        <v>4</v>
      </c>
      <c r="N37" s="8" t="s">
        <v>33</v>
      </c>
      <c r="O37" s="9">
        <v>500</v>
      </c>
      <c r="P37" s="7">
        <f t="shared" si="14"/>
        <v>0</v>
      </c>
      <c r="R37" s="8" t="s">
        <v>38</v>
      </c>
      <c r="S37" s="9">
        <v>500</v>
      </c>
      <c r="T37" s="7">
        <f t="shared" si="11"/>
        <v>2</v>
      </c>
      <c r="U37" s="19"/>
      <c r="V37" s="8" t="s">
        <v>38</v>
      </c>
      <c r="W37" s="9">
        <v>500</v>
      </c>
      <c r="X37" s="7">
        <f t="shared" si="12"/>
        <v>0</v>
      </c>
      <c r="Z37" s="8" t="s">
        <v>39</v>
      </c>
      <c r="AA37" s="6">
        <f>IF($AB$8&gt;1,1000,30000)</f>
        <v>30000</v>
      </c>
      <c r="AB37" s="7">
        <f t="shared" si="15"/>
        <v>0</v>
      </c>
      <c r="AD37" s="8" t="s">
        <v>39</v>
      </c>
      <c r="AE37" s="6">
        <v>1000</v>
      </c>
      <c r="AF37" s="7">
        <f t="shared" si="13"/>
        <v>1</v>
      </c>
    </row>
    <row r="38" spans="2:32" ht="15.75" thickBot="1" x14ac:dyDescent="0.3">
      <c r="B38" s="8" t="s">
        <v>38</v>
      </c>
      <c r="C38" s="9">
        <v>500</v>
      </c>
      <c r="D38" s="7">
        <f t="shared" si="8"/>
        <v>2</v>
      </c>
      <c r="F38" s="8" t="s">
        <v>38</v>
      </c>
      <c r="G38" s="9">
        <v>500</v>
      </c>
      <c r="H38" s="7">
        <f t="shared" si="9"/>
        <v>1</v>
      </c>
      <c r="J38" s="2" t="s">
        <v>48</v>
      </c>
      <c r="K38" s="10">
        <v>1000</v>
      </c>
      <c r="L38" s="7">
        <f t="shared" si="10"/>
        <v>2</v>
      </c>
      <c r="N38" s="8" t="s">
        <v>37</v>
      </c>
      <c r="O38" s="9">
        <v>500</v>
      </c>
      <c r="P38" s="7">
        <f t="shared" si="14"/>
        <v>0</v>
      </c>
      <c r="R38" s="8" t="s">
        <v>40</v>
      </c>
      <c r="S38" s="9">
        <v>500</v>
      </c>
      <c r="T38" s="7">
        <f>ROUNDDOWN(T$8/S38,0)</f>
        <v>2</v>
      </c>
      <c r="U38" s="19"/>
      <c r="V38" s="8" t="s">
        <v>40</v>
      </c>
      <c r="W38" s="9">
        <v>500</v>
      </c>
      <c r="X38" s="7">
        <f t="shared" si="12"/>
        <v>0</v>
      </c>
      <c r="Z38" s="8" t="s">
        <v>41</v>
      </c>
      <c r="AA38" s="6">
        <f>IF($AB$8&gt;1,1000,30000)</f>
        <v>30000</v>
      </c>
      <c r="AB38" s="7">
        <v>0</v>
      </c>
      <c r="AD38" s="8" t="s">
        <v>89</v>
      </c>
      <c r="AE38" s="6">
        <v>500</v>
      </c>
      <c r="AF38" s="7">
        <f t="shared" si="13"/>
        <v>2</v>
      </c>
    </row>
    <row r="39" spans="2:32" ht="15.75" thickBot="1" x14ac:dyDescent="0.3">
      <c r="B39" s="2" t="s">
        <v>48</v>
      </c>
      <c r="C39" s="10">
        <v>1000</v>
      </c>
      <c r="D39" s="7">
        <f t="shared" si="8"/>
        <v>1</v>
      </c>
      <c r="F39" s="2" t="s">
        <v>48</v>
      </c>
      <c r="G39" s="10">
        <v>1000</v>
      </c>
      <c r="H39" s="7">
        <f t="shared" si="9"/>
        <v>0</v>
      </c>
      <c r="J39" s="2"/>
      <c r="K39" s="10"/>
      <c r="L39" s="11"/>
      <c r="N39" s="2" t="s">
        <v>43</v>
      </c>
      <c r="O39" s="9">
        <v>1000</v>
      </c>
      <c r="P39" s="11">
        <f t="shared" si="14"/>
        <v>0</v>
      </c>
      <c r="R39" s="8" t="s">
        <v>42</v>
      </c>
      <c r="S39" s="9">
        <v>500</v>
      </c>
      <c r="T39" s="7">
        <f>ROUNDDOWN(T$8/S39,0)</f>
        <v>2</v>
      </c>
      <c r="U39" s="19"/>
      <c r="V39" s="8" t="s">
        <v>42</v>
      </c>
      <c r="W39" s="9">
        <v>500</v>
      </c>
      <c r="X39" s="7">
        <f t="shared" si="12"/>
        <v>0</v>
      </c>
      <c r="Z39" s="2" t="s">
        <v>43</v>
      </c>
      <c r="AA39" s="6">
        <f>IF($AB$8&gt;1,1000,60000)</f>
        <v>60000</v>
      </c>
      <c r="AB39" s="11">
        <v>0</v>
      </c>
      <c r="AD39" s="2" t="s">
        <v>43</v>
      </c>
      <c r="AE39" s="10">
        <v>1000</v>
      </c>
      <c r="AF39" s="7">
        <f t="shared" si="13"/>
        <v>1</v>
      </c>
    </row>
    <row r="40" spans="2:32" ht="15.75" thickBot="1" x14ac:dyDescent="0.3">
      <c r="B40" s="8"/>
      <c r="C40" s="9"/>
      <c r="D40" s="7"/>
      <c r="J40" s="8"/>
      <c r="K40" s="9"/>
      <c r="L40" s="7"/>
      <c r="R40" s="58" t="s">
        <v>43</v>
      </c>
      <c r="S40" s="9">
        <v>1000</v>
      </c>
      <c r="T40" s="11">
        <f>ROUNDDOWN(T$8/S40,0)</f>
        <v>1</v>
      </c>
      <c r="U40" s="19"/>
      <c r="V40" s="58" t="s">
        <v>43</v>
      </c>
      <c r="W40" s="9">
        <v>1000</v>
      </c>
      <c r="X40" s="11">
        <f t="shared" si="12"/>
        <v>0</v>
      </c>
    </row>
    <row r="41" spans="2:32" ht="15.75" thickBot="1" x14ac:dyDescent="0.3">
      <c r="B41" s="2"/>
      <c r="C41" s="10"/>
      <c r="D41" s="7"/>
      <c r="J41" s="8"/>
      <c r="K41" s="9"/>
      <c r="L41" s="7"/>
      <c r="V41" s="58" t="s">
        <v>44</v>
      </c>
      <c r="W41" s="59">
        <v>500</v>
      </c>
      <c r="X41" s="11">
        <f t="shared" si="12"/>
        <v>0</v>
      </c>
    </row>
    <row r="42" spans="2:32" ht="15.75" thickBot="1" x14ac:dyDescent="0.3">
      <c r="B42" s="2"/>
      <c r="C42" s="10"/>
      <c r="D42" s="7"/>
      <c r="J42" s="2"/>
      <c r="K42" s="10"/>
      <c r="L42" s="11"/>
      <c r="V42" s="60" t="s">
        <v>45</v>
      </c>
      <c r="W42" s="61">
        <v>500</v>
      </c>
      <c r="X42" s="11">
        <f t="shared" si="12"/>
        <v>0</v>
      </c>
    </row>
    <row r="43" spans="2:32" x14ac:dyDescent="0.25">
      <c r="C43" s="46" t="s">
        <v>49</v>
      </c>
      <c r="D43" s="46">
        <f>COUNTA(B33:B41)*3*D26</f>
        <v>21</v>
      </c>
      <c r="G43" s="46" t="s">
        <v>49</v>
      </c>
      <c r="H43" s="46">
        <f>COUNTA(F33:F41)*3*H26</f>
        <v>21</v>
      </c>
      <c r="K43" s="46" t="s">
        <v>49</v>
      </c>
      <c r="L43" s="46">
        <f>COUNTA(J33:J41)*3*L26</f>
        <v>10008</v>
      </c>
      <c r="O43" s="46" t="s">
        <v>49</v>
      </c>
      <c r="P43" s="46">
        <f>COUNTA(N33:N41)*3*P26</f>
        <v>0</v>
      </c>
      <c r="S43" s="46" t="s">
        <v>49</v>
      </c>
      <c r="T43" s="46">
        <f>COUNTA(R33:R41)*3*T26</f>
        <v>24</v>
      </c>
      <c r="W43" s="46" t="s">
        <v>49</v>
      </c>
      <c r="X43" s="46">
        <f>COUNTA(V33:V42)*3*X26</f>
        <v>0</v>
      </c>
      <c r="AA43" s="46" t="s">
        <v>49</v>
      </c>
      <c r="AB43" s="46">
        <f>COUNTA(Z33:Z41)*3*AB26</f>
        <v>0</v>
      </c>
      <c r="AE43" s="46" t="s">
        <v>49</v>
      </c>
      <c r="AF43" s="46">
        <f>COUNTA(AD33:AD41)*3*AF26</f>
        <v>21</v>
      </c>
    </row>
  </sheetData>
  <mergeCells count="102">
    <mergeCell ref="V29:W29"/>
    <mergeCell ref="Z30:AA30"/>
    <mergeCell ref="Z31:AA31"/>
    <mergeCell ref="Z29:AA29"/>
    <mergeCell ref="B30:C30"/>
    <mergeCell ref="F30:G30"/>
    <mergeCell ref="J30:K30"/>
    <mergeCell ref="N30:O30"/>
    <mergeCell ref="R30:S30"/>
    <mergeCell ref="V30:W30"/>
    <mergeCell ref="B29:C29"/>
    <mergeCell ref="F29:G29"/>
    <mergeCell ref="J29:K29"/>
    <mergeCell ref="N29:O29"/>
    <mergeCell ref="R29:S29"/>
    <mergeCell ref="V27:W27"/>
    <mergeCell ref="Z27:AA27"/>
    <mergeCell ref="B28:C28"/>
    <mergeCell ref="F28:G28"/>
    <mergeCell ref="J28:K28"/>
    <mergeCell ref="N28:O28"/>
    <mergeCell ref="R28:S28"/>
    <mergeCell ref="V28:W28"/>
    <mergeCell ref="Z28:AA28"/>
    <mergeCell ref="B27:C27"/>
    <mergeCell ref="F27:G27"/>
    <mergeCell ref="J27:K27"/>
    <mergeCell ref="N27:O27"/>
    <mergeCell ref="R27:S27"/>
    <mergeCell ref="AA25:AB25"/>
    <mergeCell ref="B26:C26"/>
    <mergeCell ref="F26:G26"/>
    <mergeCell ref="J26:K26"/>
    <mergeCell ref="N26:O26"/>
    <mergeCell ref="R26:S26"/>
    <mergeCell ref="V26:W26"/>
    <mergeCell ref="C25:D25"/>
    <mergeCell ref="G25:H25"/>
    <mergeCell ref="K25:L25"/>
    <mergeCell ref="O25:P25"/>
    <mergeCell ref="S25:T25"/>
    <mergeCell ref="W25:X25"/>
    <mergeCell ref="Z26:AA26"/>
    <mergeCell ref="Z11:AA11"/>
    <mergeCell ref="Z12:AA12"/>
    <mergeCell ref="Z10:AA10"/>
    <mergeCell ref="B11:C11"/>
    <mergeCell ref="F11:G11"/>
    <mergeCell ref="J11:K11"/>
    <mergeCell ref="N11:O11"/>
    <mergeCell ref="R11:S11"/>
    <mergeCell ref="V11:W11"/>
    <mergeCell ref="N7:O7"/>
    <mergeCell ref="R7:S7"/>
    <mergeCell ref="V7:W7"/>
    <mergeCell ref="Z8:AA8"/>
    <mergeCell ref="V9:W9"/>
    <mergeCell ref="Z9:AA9"/>
    <mergeCell ref="B10:C10"/>
    <mergeCell ref="F10:G10"/>
    <mergeCell ref="J10:K10"/>
    <mergeCell ref="N10:O10"/>
    <mergeCell ref="R10:S10"/>
    <mergeCell ref="V10:W10"/>
    <mergeCell ref="B9:C9"/>
    <mergeCell ref="F9:G9"/>
    <mergeCell ref="J9:K9"/>
    <mergeCell ref="N9:O9"/>
    <mergeCell ref="R9:S9"/>
    <mergeCell ref="AE6:AF6"/>
    <mergeCell ref="AD7:AE7"/>
    <mergeCell ref="AD8:AE8"/>
    <mergeCell ref="AD9:AE9"/>
    <mergeCell ref="AD10:AE10"/>
    <mergeCell ref="S6:T6"/>
    <mergeCell ref="W6:X6"/>
    <mergeCell ref="AA6:AB6"/>
    <mergeCell ref="D2:F2"/>
    <mergeCell ref="D3:F3"/>
    <mergeCell ref="C6:D6"/>
    <mergeCell ref="G6:H6"/>
    <mergeCell ref="K6:L6"/>
    <mergeCell ref="O6:P6"/>
    <mergeCell ref="Z7:AA7"/>
    <mergeCell ref="B8:C8"/>
    <mergeCell ref="F8:G8"/>
    <mergeCell ref="J8:K8"/>
    <mergeCell ref="N8:O8"/>
    <mergeCell ref="R8:S8"/>
    <mergeCell ref="V8:W8"/>
    <mergeCell ref="B7:C7"/>
    <mergeCell ref="F7:G7"/>
    <mergeCell ref="J7:K7"/>
    <mergeCell ref="AD30:AE30"/>
    <mergeCell ref="AD31:AE31"/>
    <mergeCell ref="AE25:AF25"/>
    <mergeCell ref="AD26:AE26"/>
    <mergeCell ref="AD27:AE27"/>
    <mergeCell ref="AD28:AE28"/>
    <mergeCell ref="AD29:AE29"/>
    <mergeCell ref="AD11:AE11"/>
    <mergeCell ref="AD12:AE12"/>
  </mergeCells>
  <conditionalFormatting sqref="B33:C39">
    <cfRule type="cellIs" dxfId="26" priority="10" operator="equal">
      <formula>0</formula>
    </cfRule>
  </conditionalFormatting>
  <conditionalFormatting sqref="F14:H16 J14:L19 N14:P19 R14:T19 V14:X20 Z14:AB20 B14:D21 H17:H20 S20:T20 V21:W21 X21:X23">
    <cfRule type="cellIs" dxfId="25" priority="11" operator="equal">
      <formula>0</formula>
    </cfRule>
  </conditionalFormatting>
  <conditionalFormatting sqref="AA33:AA39">
    <cfRule type="cellIs" dxfId="24" priority="3" operator="equal">
      <formula>0</formula>
    </cfRule>
  </conditionalFormatting>
  <conditionalFormatting sqref="AD14:AF20">
    <cfRule type="cellIs" dxfId="23" priority="2" operator="equal">
      <formula>0</formula>
    </cfRule>
  </conditionalFormatting>
  <conditionalFormatting sqref="AD33:AF39">
    <cfRule type="cellIs" dxfId="22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E16D-3FA9-4E4A-86EA-4E713554900A}">
  <dimension ref="B1:AY43"/>
  <sheetViews>
    <sheetView zoomScale="70" zoomScaleNormal="70" workbookViewId="0">
      <selection activeCell="AR43" sqref="AR43"/>
    </sheetView>
  </sheetViews>
  <sheetFormatPr defaultRowHeight="15" x14ac:dyDescent="0.25"/>
  <cols>
    <col min="1" max="1" width="2.85546875" customWidth="1"/>
    <col min="2" max="2" width="35.85546875" customWidth="1"/>
    <col min="3" max="3" width="24.42578125" customWidth="1"/>
    <col min="4" max="4" width="22.85546875" customWidth="1"/>
    <col min="5" max="5" width="3.7109375" customWidth="1"/>
    <col min="6" max="6" width="34.85546875" customWidth="1"/>
    <col min="7" max="7" width="20.28515625" customWidth="1"/>
    <col min="8" max="8" width="25.42578125" customWidth="1"/>
    <col min="9" max="9" width="3.7109375" customWidth="1"/>
    <col min="10" max="10" width="44.42578125" customWidth="1"/>
    <col min="11" max="11" width="25.140625" customWidth="1"/>
    <col min="12" max="12" width="25.42578125" customWidth="1"/>
    <col min="13" max="13" width="3.7109375" customWidth="1"/>
    <col min="14" max="14" width="34.28515625" bestFit="1" customWidth="1"/>
    <col min="15" max="15" width="23.7109375" bestFit="1" customWidth="1"/>
    <col min="16" max="16" width="22.28515625" bestFit="1" customWidth="1"/>
    <col min="17" max="17" width="3.7109375" customWidth="1"/>
    <col min="18" max="18" width="35.85546875" bestFit="1" customWidth="1"/>
    <col min="19" max="19" width="20.28515625" customWidth="1"/>
    <col min="20" max="20" width="22.85546875" customWidth="1"/>
    <col min="21" max="21" width="3.5703125" customWidth="1"/>
    <col min="22" max="22" width="39.28515625" bestFit="1" customWidth="1"/>
    <col min="23" max="24" width="22.85546875" customWidth="1"/>
    <col min="25" max="25" width="3.7109375" customWidth="1"/>
    <col min="26" max="26" width="34.85546875" bestFit="1" customWidth="1"/>
    <col min="27" max="27" width="24.42578125" bestFit="1" customWidth="1"/>
    <col min="28" max="28" width="22.85546875" bestFit="1" customWidth="1"/>
    <col min="29" max="29" width="3.5703125" customWidth="1"/>
    <col min="30" max="30" width="34.85546875" bestFit="1" customWidth="1"/>
    <col min="31" max="31" width="24.42578125" customWidth="1"/>
    <col min="32" max="32" width="22.85546875" bestFit="1" customWidth="1"/>
    <col min="33" max="33" width="3" customWidth="1"/>
    <col min="34" max="34" width="27.140625" customWidth="1"/>
    <col min="35" max="36" width="22.85546875" customWidth="1"/>
    <col min="37" max="37" width="3.7109375" customWidth="1"/>
    <col min="38" max="38" width="23.5703125" bestFit="1" customWidth="1"/>
    <col min="39" max="39" width="24.42578125" bestFit="1" customWidth="1"/>
    <col min="40" max="40" width="22.85546875" bestFit="1" customWidth="1"/>
    <col min="42" max="42" width="32.85546875" bestFit="1" customWidth="1"/>
    <col min="43" max="43" width="19.140625" bestFit="1" customWidth="1"/>
    <col min="44" max="44" width="17.7109375" bestFit="1" customWidth="1"/>
  </cols>
  <sheetData>
    <row r="1" spans="2:51" s="23" customFormat="1" ht="21" x14ac:dyDescent="0.35">
      <c r="H1" s="50" t="s">
        <v>0</v>
      </c>
      <c r="J1" s="21" t="s">
        <v>1</v>
      </c>
      <c r="AU1" s="84"/>
      <c r="AY1" s="84"/>
    </row>
    <row r="2" spans="2:51" s="23" customFormat="1" ht="21" x14ac:dyDescent="0.35">
      <c r="B2" s="31" t="s">
        <v>2</v>
      </c>
      <c r="C2" s="30">
        <f>SUM(D10,H10,L10,T10,AB10,P10,X10,V10,AF10,AJ10,AN10,AR10)</f>
        <v>2117</v>
      </c>
      <c r="D2" s="108" t="s">
        <v>3</v>
      </c>
      <c r="E2" s="108"/>
      <c r="F2" s="108"/>
      <c r="H2" s="24">
        <v>1950</v>
      </c>
      <c r="I2" s="51" t="s">
        <v>4</v>
      </c>
      <c r="J2" s="25">
        <f>C2*H4*H2</f>
        <v>206407.50000000003</v>
      </c>
      <c r="AU2"/>
      <c r="AY2"/>
    </row>
    <row r="3" spans="2:51" s="23" customFormat="1" ht="21" x14ac:dyDescent="0.35">
      <c r="B3" s="32" t="s">
        <v>2</v>
      </c>
      <c r="C3" s="33">
        <f>SUM(D29,H29,L29,T29,AB29,P29,X29,AF29,AJ29,AN29,AR29)</f>
        <v>2085</v>
      </c>
      <c r="D3" s="109" t="s">
        <v>5</v>
      </c>
      <c r="E3" s="109"/>
      <c r="F3" s="109"/>
      <c r="G3" s="24"/>
      <c r="H3" s="50" t="s">
        <v>6</v>
      </c>
      <c r="J3" s="25"/>
      <c r="AU3" s="84"/>
      <c r="AY3" s="84"/>
    </row>
    <row r="4" spans="2:51" s="23" customFormat="1" ht="21" x14ac:dyDescent="0.35">
      <c r="B4" s="43" t="s">
        <v>2</v>
      </c>
      <c r="C4" s="44">
        <f>SUM(D43,H43,L43,T43,AB43,P43,X43,AF43,AJ43,AN43,AR43)</f>
        <v>1062</v>
      </c>
      <c r="D4" s="45" t="s">
        <v>7</v>
      </c>
      <c r="E4" s="42"/>
      <c r="F4" s="42"/>
      <c r="G4" s="24"/>
      <c r="H4" s="29">
        <v>0.05</v>
      </c>
      <c r="J4" s="25"/>
      <c r="AU4" s="84"/>
      <c r="AY4"/>
    </row>
    <row r="5" spans="2:51" ht="17.25" thickBot="1" x14ac:dyDescent="0.3">
      <c r="AU5" s="84"/>
      <c r="AY5" s="84"/>
    </row>
    <row r="6" spans="2:51" ht="21.75" thickBot="1" x14ac:dyDescent="0.4">
      <c r="B6" s="1" t="s">
        <v>50</v>
      </c>
      <c r="C6" s="112" t="s">
        <v>46</v>
      </c>
      <c r="D6" s="113"/>
      <c r="F6" s="1" t="s">
        <v>79</v>
      </c>
      <c r="G6" s="112">
        <f>H7</f>
        <v>9</v>
      </c>
      <c r="H6" s="113"/>
      <c r="J6" s="1" t="s">
        <v>51</v>
      </c>
      <c r="K6" s="112" t="s">
        <v>53</v>
      </c>
      <c r="L6" s="113"/>
      <c r="N6" s="1" t="s">
        <v>54</v>
      </c>
      <c r="O6" s="112">
        <f>P7</f>
        <v>3</v>
      </c>
      <c r="P6" s="113"/>
      <c r="R6" s="1" t="s">
        <v>55</v>
      </c>
      <c r="S6" s="112">
        <f>T7</f>
        <v>1</v>
      </c>
      <c r="T6" s="113"/>
      <c r="U6" s="21"/>
      <c r="V6" s="1" t="s">
        <v>56</v>
      </c>
      <c r="W6" s="112" t="s">
        <v>13</v>
      </c>
      <c r="X6" s="113"/>
      <c r="Z6" s="1" t="s">
        <v>57</v>
      </c>
      <c r="AA6" s="112" t="s">
        <v>58</v>
      </c>
      <c r="AB6" s="113"/>
      <c r="AD6" s="1" t="s">
        <v>15</v>
      </c>
      <c r="AE6" s="112" t="s">
        <v>16</v>
      </c>
      <c r="AF6" s="113"/>
      <c r="AG6" s="21"/>
      <c r="AH6" s="1" t="s">
        <v>59</v>
      </c>
      <c r="AI6" s="112" t="s">
        <v>60</v>
      </c>
      <c r="AJ6" s="113"/>
      <c r="AL6" s="1" t="s">
        <v>61</v>
      </c>
      <c r="AM6" s="112" t="s">
        <v>16</v>
      </c>
      <c r="AN6" s="113"/>
      <c r="AP6" s="1" t="s">
        <v>93</v>
      </c>
      <c r="AQ6" s="112">
        <f>AR7</f>
        <v>1</v>
      </c>
      <c r="AR6" s="113"/>
      <c r="AU6" s="84"/>
    </row>
    <row r="7" spans="2:51" ht="16.5" x14ac:dyDescent="0.25">
      <c r="B7" s="100" t="s">
        <v>17</v>
      </c>
      <c r="C7" s="101"/>
      <c r="D7" s="39">
        <v>9</v>
      </c>
      <c r="F7" s="100" t="s">
        <v>18</v>
      </c>
      <c r="G7" s="101"/>
      <c r="H7" s="62">
        <v>9</v>
      </c>
      <c r="J7" s="100" t="s">
        <v>18</v>
      </c>
      <c r="K7" s="101"/>
      <c r="L7" s="39">
        <v>3</v>
      </c>
      <c r="N7" s="100" t="s">
        <v>18</v>
      </c>
      <c r="O7" s="101"/>
      <c r="P7" s="62">
        <v>3</v>
      </c>
      <c r="R7" s="100" t="s">
        <v>17</v>
      </c>
      <c r="S7" s="101"/>
      <c r="T7" s="62">
        <v>1</v>
      </c>
      <c r="U7" s="22"/>
      <c r="V7" s="100" t="s">
        <v>18</v>
      </c>
      <c r="W7" s="101"/>
      <c r="X7" s="39"/>
      <c r="Z7" s="100" t="s">
        <v>18</v>
      </c>
      <c r="AA7" s="101"/>
      <c r="AB7" s="39"/>
      <c r="AD7" s="100" t="s">
        <v>18</v>
      </c>
      <c r="AE7" s="101"/>
      <c r="AF7" s="40">
        <v>15</v>
      </c>
      <c r="AG7" s="34"/>
      <c r="AH7" s="100" t="s">
        <v>18</v>
      </c>
      <c r="AI7" s="101"/>
      <c r="AJ7" s="40">
        <v>15</v>
      </c>
      <c r="AL7" s="100" t="s">
        <v>18</v>
      </c>
      <c r="AM7" s="101"/>
      <c r="AN7" s="40">
        <v>1</v>
      </c>
      <c r="AP7" s="100" t="s">
        <v>18</v>
      </c>
      <c r="AQ7" s="101"/>
      <c r="AR7" s="62">
        <v>1</v>
      </c>
      <c r="AU7" s="84"/>
      <c r="AY7" s="84"/>
    </row>
    <row r="8" spans="2:51" ht="16.5" x14ac:dyDescent="0.25">
      <c r="B8" s="104" t="s">
        <v>19</v>
      </c>
      <c r="C8" s="105"/>
      <c r="D8" s="41">
        <v>3000</v>
      </c>
      <c r="F8" s="104" t="s">
        <v>19</v>
      </c>
      <c r="G8" s="105"/>
      <c r="H8" s="63">
        <v>3000</v>
      </c>
      <c r="J8" s="104" t="s">
        <v>19</v>
      </c>
      <c r="K8" s="105"/>
      <c r="L8" s="41">
        <v>1500</v>
      </c>
      <c r="N8" s="104" t="s">
        <v>19</v>
      </c>
      <c r="O8" s="105"/>
      <c r="P8" s="63">
        <v>300</v>
      </c>
      <c r="R8" s="104" t="s">
        <v>19</v>
      </c>
      <c r="S8" s="105"/>
      <c r="T8" s="63">
        <v>800</v>
      </c>
      <c r="U8" s="22"/>
      <c r="V8" s="104" t="s">
        <v>19</v>
      </c>
      <c r="W8" s="105"/>
      <c r="X8" s="41"/>
      <c r="Z8" s="104" t="s">
        <v>19</v>
      </c>
      <c r="AA8" s="105"/>
      <c r="AB8" s="41"/>
      <c r="AD8" s="102" t="s">
        <v>19</v>
      </c>
      <c r="AE8" s="103"/>
      <c r="AF8" s="41">
        <v>3000</v>
      </c>
      <c r="AG8" s="34"/>
      <c r="AH8" s="102" t="s">
        <v>19</v>
      </c>
      <c r="AI8" s="103"/>
      <c r="AJ8" s="41">
        <v>3000</v>
      </c>
      <c r="AL8" s="104" t="s">
        <v>19</v>
      </c>
      <c r="AM8" s="105"/>
      <c r="AN8" s="41">
        <f>440*7</f>
        <v>3080</v>
      </c>
      <c r="AP8" s="104" t="s">
        <v>19</v>
      </c>
      <c r="AQ8" s="105"/>
      <c r="AR8" s="63">
        <f>50*12</f>
        <v>600</v>
      </c>
      <c r="AU8" s="84"/>
    </row>
    <row r="9" spans="2:51" ht="16.5" x14ac:dyDescent="0.25">
      <c r="B9" s="104" t="s">
        <v>20</v>
      </c>
      <c r="C9" s="105"/>
      <c r="D9" s="41">
        <v>9</v>
      </c>
      <c r="F9" s="104" t="s">
        <v>20</v>
      </c>
      <c r="G9" s="105"/>
      <c r="H9" s="63">
        <v>3</v>
      </c>
      <c r="J9" s="104" t="s">
        <v>20</v>
      </c>
      <c r="K9" s="105"/>
      <c r="L9" s="41">
        <v>7</v>
      </c>
      <c r="N9" s="104" t="s">
        <v>20</v>
      </c>
      <c r="O9" s="105"/>
      <c r="P9" s="63">
        <v>6</v>
      </c>
      <c r="R9" s="104" t="s">
        <v>20</v>
      </c>
      <c r="S9" s="105"/>
      <c r="T9" s="63">
        <v>9</v>
      </c>
      <c r="U9" s="22"/>
      <c r="V9" s="104" t="s">
        <v>20</v>
      </c>
      <c r="W9" s="105"/>
      <c r="X9" s="41">
        <v>9</v>
      </c>
      <c r="Z9" s="104" t="s">
        <v>20</v>
      </c>
      <c r="AA9" s="105"/>
      <c r="AB9" s="41"/>
      <c r="AD9" s="104" t="s">
        <v>20</v>
      </c>
      <c r="AE9" s="105"/>
      <c r="AF9" s="41">
        <v>7</v>
      </c>
      <c r="AG9" s="34"/>
      <c r="AH9" s="104" t="s">
        <v>20</v>
      </c>
      <c r="AI9" s="105"/>
      <c r="AJ9" s="41">
        <v>12</v>
      </c>
      <c r="AL9" s="104" t="s">
        <v>20</v>
      </c>
      <c r="AM9" s="105"/>
      <c r="AN9" s="41">
        <v>7</v>
      </c>
      <c r="AP9" s="104" t="s">
        <v>20</v>
      </c>
      <c r="AQ9" s="105"/>
      <c r="AR9" s="63">
        <v>12</v>
      </c>
      <c r="AU9" s="84"/>
    </row>
    <row r="10" spans="2:51" ht="16.5" x14ac:dyDescent="0.25">
      <c r="B10" s="110" t="s">
        <v>21</v>
      </c>
      <c r="C10" s="111"/>
      <c r="D10" s="37">
        <f>SUM(D14:D23)*D7</f>
        <v>540</v>
      </c>
      <c r="F10" s="110" t="s">
        <v>21</v>
      </c>
      <c r="G10" s="111"/>
      <c r="H10" s="37">
        <f>SUM(H14:H20)*H7</f>
        <v>189</v>
      </c>
      <c r="J10" s="110" t="s">
        <v>21</v>
      </c>
      <c r="K10" s="111"/>
      <c r="L10" s="37">
        <f>SUM(L14:L23)*L7</f>
        <v>57</v>
      </c>
      <c r="N10" s="110" t="s">
        <v>21</v>
      </c>
      <c r="O10" s="111"/>
      <c r="P10" s="37">
        <f>SUM(P14:P20)*P7</f>
        <v>3</v>
      </c>
      <c r="R10" s="110" t="s">
        <v>21</v>
      </c>
      <c r="S10" s="111"/>
      <c r="T10" s="37">
        <f>SUM(T14:T21)*T7</f>
        <v>8</v>
      </c>
      <c r="U10" s="22"/>
      <c r="V10" s="110" t="s">
        <v>21</v>
      </c>
      <c r="W10" s="111"/>
      <c r="X10" s="37">
        <f>SUM(X14:X21)*X7</f>
        <v>0</v>
      </c>
      <c r="Z10" s="110" t="s">
        <v>21</v>
      </c>
      <c r="AA10" s="111"/>
      <c r="AB10" s="37">
        <f>SUM(AB14:AB17)*AB7</f>
        <v>0</v>
      </c>
      <c r="AD10" s="110" t="s">
        <v>21</v>
      </c>
      <c r="AE10" s="111"/>
      <c r="AF10" s="37">
        <f>SUM(AF14:AF20)*AF7</f>
        <v>495</v>
      </c>
      <c r="AG10" s="35"/>
      <c r="AH10" s="110" t="s">
        <v>21</v>
      </c>
      <c r="AI10" s="111"/>
      <c r="AJ10" s="37">
        <f>SUM(AJ14:AJ20)*AJ7</f>
        <v>810</v>
      </c>
      <c r="AL10" s="110" t="s">
        <v>21</v>
      </c>
      <c r="AM10" s="111"/>
      <c r="AN10" s="37">
        <f>SUM(AN14:AN15)*AN7</f>
        <v>12</v>
      </c>
      <c r="AP10" s="110" t="s">
        <v>21</v>
      </c>
      <c r="AQ10" s="111"/>
      <c r="AR10" s="37">
        <f>SUM(AR14:AR20)*AR7</f>
        <v>3</v>
      </c>
      <c r="AU10" s="84"/>
      <c r="AY10" s="84"/>
    </row>
    <row r="11" spans="2:51" ht="16.5" x14ac:dyDescent="0.25">
      <c r="B11" s="110" t="s">
        <v>22</v>
      </c>
      <c r="C11" s="111"/>
      <c r="D11" s="38">
        <f>D10/D9</f>
        <v>60</v>
      </c>
      <c r="F11" s="110" t="s">
        <v>22</v>
      </c>
      <c r="G11" s="111"/>
      <c r="H11" s="38">
        <f>H10/H9</f>
        <v>63</v>
      </c>
      <c r="J11" s="110" t="s">
        <v>22</v>
      </c>
      <c r="K11" s="111"/>
      <c r="L11" s="38">
        <f>L10/L9</f>
        <v>8.1428571428571423</v>
      </c>
      <c r="N11" s="110" t="s">
        <v>22</v>
      </c>
      <c r="O11" s="111"/>
      <c r="P11" s="38">
        <f>P10/P9</f>
        <v>0.5</v>
      </c>
      <c r="R11" s="110" t="s">
        <v>22</v>
      </c>
      <c r="S11" s="111"/>
      <c r="T11" s="38">
        <f>T10/T9</f>
        <v>0.88888888888888884</v>
      </c>
      <c r="U11" s="20"/>
      <c r="V11" s="110" t="s">
        <v>22</v>
      </c>
      <c r="W11" s="111"/>
      <c r="X11" s="38">
        <f>X10/X9</f>
        <v>0</v>
      </c>
      <c r="Z11" s="110" t="s">
        <v>22</v>
      </c>
      <c r="AA11" s="111"/>
      <c r="AB11" s="38" t="e">
        <f>AB10/AB9</f>
        <v>#DIV/0!</v>
      </c>
      <c r="AD11" s="110" t="s">
        <v>22</v>
      </c>
      <c r="AE11" s="111"/>
      <c r="AF11" s="37">
        <f>AF10/AF9</f>
        <v>70.714285714285708</v>
      </c>
      <c r="AG11" s="35"/>
      <c r="AH11" s="110" t="s">
        <v>22</v>
      </c>
      <c r="AI11" s="111"/>
      <c r="AJ11" s="37">
        <f>AJ10/AJ9</f>
        <v>67.5</v>
      </c>
      <c r="AL11" s="110" t="s">
        <v>22</v>
      </c>
      <c r="AM11" s="111"/>
      <c r="AN11" s="37">
        <f>AN10/AN9</f>
        <v>1.7142857142857142</v>
      </c>
      <c r="AP11" s="110" t="s">
        <v>22</v>
      </c>
      <c r="AQ11" s="111"/>
      <c r="AR11" s="38">
        <f>AR10/AR9</f>
        <v>0.25</v>
      </c>
      <c r="AU11" s="84"/>
    </row>
    <row r="12" spans="2:51" ht="16.5" x14ac:dyDescent="0.25">
      <c r="B12" s="15"/>
      <c r="C12" s="16"/>
      <c r="D12" s="17"/>
      <c r="F12" s="15"/>
      <c r="G12" s="16"/>
      <c r="H12" s="17"/>
      <c r="J12" s="15"/>
      <c r="K12" s="16"/>
      <c r="L12" s="17"/>
      <c r="N12" s="15"/>
      <c r="O12" s="16"/>
      <c r="P12" s="17"/>
      <c r="R12" s="15"/>
      <c r="S12" s="16"/>
      <c r="T12" s="17"/>
      <c r="U12" s="20"/>
      <c r="V12" s="15"/>
      <c r="W12" s="16"/>
      <c r="X12" s="17"/>
      <c r="Z12" s="15"/>
      <c r="AA12" s="16"/>
      <c r="AB12" s="17"/>
      <c r="AD12" s="96" t="s">
        <v>62</v>
      </c>
      <c r="AE12" s="97"/>
      <c r="AF12" s="12"/>
      <c r="AG12" s="36"/>
      <c r="AH12" s="96" t="s">
        <v>62</v>
      </c>
      <c r="AI12" s="97"/>
      <c r="AJ12" s="12"/>
      <c r="AL12" s="15"/>
      <c r="AM12" s="16"/>
      <c r="AN12" s="18"/>
      <c r="AP12" s="15"/>
      <c r="AQ12" s="16"/>
      <c r="AR12" s="17"/>
      <c r="AU12" s="84"/>
      <c r="AY12" s="84"/>
    </row>
    <row r="13" spans="2:51" ht="15.75" thickBot="1" x14ac:dyDescent="0.3">
      <c r="B13" s="2" t="s">
        <v>24</v>
      </c>
      <c r="C13" s="3" t="s">
        <v>25</v>
      </c>
      <c r="D13" s="4" t="s">
        <v>26</v>
      </c>
      <c r="F13" s="2" t="s">
        <v>24</v>
      </c>
      <c r="G13" s="3" t="s">
        <v>25</v>
      </c>
      <c r="H13" s="4" t="s">
        <v>26</v>
      </c>
      <c r="J13" s="2" t="s">
        <v>24</v>
      </c>
      <c r="K13" s="3" t="s">
        <v>25</v>
      </c>
      <c r="L13" s="4" t="s">
        <v>26</v>
      </c>
      <c r="N13" s="2" t="s">
        <v>24</v>
      </c>
      <c r="O13" s="3" t="s">
        <v>25</v>
      </c>
      <c r="P13" s="4" t="s">
        <v>26</v>
      </c>
      <c r="R13" s="2" t="s">
        <v>24</v>
      </c>
      <c r="S13" s="3" t="s">
        <v>25</v>
      </c>
      <c r="T13" s="4" t="s">
        <v>26</v>
      </c>
      <c r="V13" s="2" t="s">
        <v>24</v>
      </c>
      <c r="W13" s="3" t="s">
        <v>25</v>
      </c>
      <c r="X13" s="4" t="s">
        <v>26</v>
      </c>
      <c r="Z13" s="2" t="s">
        <v>24</v>
      </c>
      <c r="AA13" s="3" t="s">
        <v>25</v>
      </c>
      <c r="AB13" s="4" t="s">
        <v>26</v>
      </c>
      <c r="AD13" s="2" t="s">
        <v>24</v>
      </c>
      <c r="AE13" s="3" t="s">
        <v>25</v>
      </c>
      <c r="AF13" s="4" t="s">
        <v>26</v>
      </c>
      <c r="AH13" s="2" t="s">
        <v>24</v>
      </c>
      <c r="AI13" s="3" t="s">
        <v>25</v>
      </c>
      <c r="AJ13" s="4" t="s">
        <v>26</v>
      </c>
      <c r="AL13" s="2" t="s">
        <v>24</v>
      </c>
      <c r="AM13" s="3" t="s">
        <v>25</v>
      </c>
      <c r="AN13" s="4" t="s">
        <v>26</v>
      </c>
      <c r="AP13" s="2" t="s">
        <v>24</v>
      </c>
      <c r="AQ13" s="3" t="s">
        <v>25</v>
      </c>
      <c r="AR13" s="4" t="s">
        <v>26</v>
      </c>
    </row>
    <row r="14" spans="2:51" ht="16.5" x14ac:dyDescent="0.25">
      <c r="B14" s="5" t="s">
        <v>28</v>
      </c>
      <c r="C14" s="6">
        <v>250</v>
      </c>
      <c r="D14" s="7">
        <f>ROUNDDOWN(D$8/C14,0)</f>
        <v>12</v>
      </c>
      <c r="F14" s="5" t="s">
        <v>28</v>
      </c>
      <c r="G14" s="6">
        <v>250</v>
      </c>
      <c r="H14" s="7">
        <f>ROUNDDOWN(H$8/G14,0)</f>
        <v>12</v>
      </c>
      <c r="J14" s="5" t="s">
        <v>28</v>
      </c>
      <c r="K14" s="6">
        <v>250</v>
      </c>
      <c r="L14" s="7">
        <f>ROUNDDOWN(L$8/K14,0)</f>
        <v>6</v>
      </c>
      <c r="N14" s="5" t="s">
        <v>28</v>
      </c>
      <c r="O14" s="13">
        <v>250</v>
      </c>
      <c r="P14" s="7">
        <f>ROUNDDOWN(P$8/O14,0)</f>
        <v>1</v>
      </c>
      <c r="R14" s="5" t="s">
        <v>28</v>
      </c>
      <c r="S14" s="13">
        <v>250</v>
      </c>
      <c r="T14" s="7">
        <f>ROUNDDOWN(T$8/S14,0)</f>
        <v>3</v>
      </c>
      <c r="U14" s="19"/>
      <c r="V14" s="5" t="s">
        <v>28</v>
      </c>
      <c r="W14" s="13">
        <v>250</v>
      </c>
      <c r="X14" s="7">
        <f>ROUNDDOWN(X$8/W14,0)</f>
        <v>0</v>
      </c>
      <c r="Z14" s="5" t="s">
        <v>28</v>
      </c>
      <c r="AA14" s="14">
        <v>250</v>
      </c>
      <c r="AB14" s="7">
        <f>ROUNDDOWN(AB$8/AA14,0)</f>
        <v>0</v>
      </c>
      <c r="AD14" s="5" t="s">
        <v>28</v>
      </c>
      <c r="AE14" s="6">
        <f>IF($AF$8&gt;1,500,15000)</f>
        <v>500</v>
      </c>
      <c r="AF14" s="7">
        <f>ROUNDDOWN(IF(AF$8&gt;1,AF$8/AE14,AF$12/AE14),0)</f>
        <v>6</v>
      </c>
      <c r="AG14" s="19"/>
      <c r="AH14" s="5" t="s">
        <v>28</v>
      </c>
      <c r="AI14" s="6">
        <f>IF($AJ$8&gt;1,250,15000)</f>
        <v>250</v>
      </c>
      <c r="AJ14" s="7">
        <f>ROUNDDOWN(IF(AJ$8&gt;1,AJ$8/AI14,AJ$12/AI14),0)</f>
        <v>12</v>
      </c>
      <c r="AL14" s="5" t="s">
        <v>28</v>
      </c>
      <c r="AM14" s="6">
        <v>250</v>
      </c>
      <c r="AN14" s="7">
        <f>ROUNDDOWN(AN$8/AM14,0)</f>
        <v>12</v>
      </c>
      <c r="AP14" s="5" t="s">
        <v>28</v>
      </c>
      <c r="AQ14" s="6">
        <v>250</v>
      </c>
      <c r="AR14" s="7">
        <f>ROUNDDOWN(AR$8/AQ14,0)</f>
        <v>2</v>
      </c>
      <c r="AY14" s="84"/>
    </row>
    <row r="15" spans="2:51" ht="17.25" thickBot="1" x14ac:dyDescent="0.3">
      <c r="B15" s="8" t="s">
        <v>37</v>
      </c>
      <c r="C15" s="9">
        <v>250</v>
      </c>
      <c r="D15" s="7">
        <f t="shared" ref="D15:D21" si="0">ROUNDDOWN(D$8/C15,0)</f>
        <v>12</v>
      </c>
      <c r="F15" s="8" t="s">
        <v>63</v>
      </c>
      <c r="G15" s="9">
        <v>500</v>
      </c>
      <c r="H15" s="7">
        <f t="shared" ref="H15" si="1">ROUNDDOWN(H$8/G15,0)</f>
        <v>6</v>
      </c>
      <c r="J15" s="8" t="s">
        <v>64</v>
      </c>
      <c r="K15" s="9">
        <v>500</v>
      </c>
      <c r="L15" s="7">
        <f t="shared" ref="L15:L16" si="2">ROUNDDOWN(L$8/K15,0)</f>
        <v>3</v>
      </c>
      <c r="N15" s="8" t="s">
        <v>65</v>
      </c>
      <c r="O15" s="13">
        <v>500</v>
      </c>
      <c r="P15" s="7">
        <f>ROUNDDOWN(P$8/O15,0)</f>
        <v>0</v>
      </c>
      <c r="R15" s="8" t="s">
        <v>66</v>
      </c>
      <c r="S15" s="13">
        <v>500</v>
      </c>
      <c r="T15" s="7">
        <f t="shared" ref="T15:T18" si="3">ROUNDDOWN(T$8/S15,0)</f>
        <v>1</v>
      </c>
      <c r="U15" s="19"/>
      <c r="V15" s="8" t="s">
        <v>65</v>
      </c>
      <c r="W15" s="13">
        <v>250</v>
      </c>
      <c r="X15" s="7">
        <f t="shared" ref="X15:X21" si="4">ROUNDDOWN(X$8/W15,0)</f>
        <v>0</v>
      </c>
      <c r="Z15" s="8" t="s">
        <v>67</v>
      </c>
      <c r="AA15" s="14">
        <v>500</v>
      </c>
      <c r="AB15" s="7">
        <f t="shared" ref="AB15:AB17" si="5">ROUNDDOWN(AB$8/AA15,0)</f>
        <v>0</v>
      </c>
      <c r="AD15" s="8" t="s">
        <v>30</v>
      </c>
      <c r="AE15" s="6">
        <f>IF($AF$8&gt;1,500,15000)</f>
        <v>500</v>
      </c>
      <c r="AF15" s="7">
        <f t="shared" ref="AF15:AF19" si="6">ROUNDDOWN(IF(AF$8&gt;1,AF$8/AE15,AF$12/AE15),0)</f>
        <v>6</v>
      </c>
      <c r="AG15" s="19"/>
      <c r="AH15" s="8" t="s">
        <v>30</v>
      </c>
      <c r="AI15" s="6">
        <f t="shared" ref="AI15:AI17" si="7">IF($AJ$8&gt;1,250,15000)</f>
        <v>250</v>
      </c>
      <c r="AJ15" s="7">
        <f>ROUNDDOWN(IF(AJ$8&gt;1,AJ$8/AI15,AJ$12/AI15),0)</f>
        <v>12</v>
      </c>
      <c r="AL15" s="2"/>
      <c r="AM15" s="10"/>
      <c r="AN15" s="11"/>
      <c r="AP15" s="8" t="s">
        <v>63</v>
      </c>
      <c r="AQ15" s="9">
        <v>500</v>
      </c>
      <c r="AR15" s="7">
        <f t="shared" ref="AR15:AR16" si="8">ROUNDDOWN(AR$8/AQ15,0)</f>
        <v>1</v>
      </c>
      <c r="AU15" s="84"/>
    </row>
    <row r="16" spans="2:51" ht="16.5" x14ac:dyDescent="0.25">
      <c r="B16" s="8" t="s">
        <v>33</v>
      </c>
      <c r="C16" s="9">
        <v>250</v>
      </c>
      <c r="D16" s="7">
        <f t="shared" si="0"/>
        <v>12</v>
      </c>
      <c r="F16" s="8" t="s">
        <v>39</v>
      </c>
      <c r="G16" s="9">
        <v>1000</v>
      </c>
      <c r="H16" s="7">
        <f t="shared" ref="H16" si="9">ROUNDDOWN(H$8/G16,0)</f>
        <v>3</v>
      </c>
      <c r="J16" s="8" t="s">
        <v>68</v>
      </c>
      <c r="K16" s="9">
        <v>500</v>
      </c>
      <c r="L16" s="7">
        <f t="shared" si="2"/>
        <v>3</v>
      </c>
      <c r="N16" s="8" t="s">
        <v>69</v>
      </c>
      <c r="O16" s="13">
        <v>500</v>
      </c>
      <c r="P16" s="7">
        <f t="shared" ref="P16:P19" si="10">ROUNDDOWN(P$8/O16,0)</f>
        <v>0</v>
      </c>
      <c r="R16" s="8" t="s">
        <v>70</v>
      </c>
      <c r="S16" s="13">
        <v>500</v>
      </c>
      <c r="T16" s="7">
        <f t="shared" si="3"/>
        <v>1</v>
      </c>
      <c r="U16" s="19"/>
      <c r="V16" s="8" t="s">
        <v>71</v>
      </c>
      <c r="W16" s="13">
        <v>500</v>
      </c>
      <c r="X16" s="7">
        <f t="shared" si="4"/>
        <v>0</v>
      </c>
      <c r="Z16" s="8" t="s">
        <v>39</v>
      </c>
      <c r="AA16" s="14">
        <v>1000</v>
      </c>
      <c r="AB16" s="7">
        <f t="shared" si="5"/>
        <v>0</v>
      </c>
      <c r="AD16" s="8" t="s">
        <v>32</v>
      </c>
      <c r="AE16" s="6">
        <f>IF($AF$8&gt;1,500,30000)</f>
        <v>500</v>
      </c>
      <c r="AF16" s="7">
        <f t="shared" si="6"/>
        <v>6</v>
      </c>
      <c r="AG16" s="19"/>
      <c r="AH16" s="8" t="s">
        <v>32</v>
      </c>
      <c r="AI16" s="6">
        <f t="shared" si="7"/>
        <v>250</v>
      </c>
      <c r="AJ16" s="7">
        <f t="shared" ref="AJ16:AJ18" si="11">ROUNDDOWN(IF(AJ$8&gt;1,AJ$8/AI16,AJ$12/AI16),0)</f>
        <v>12</v>
      </c>
      <c r="AP16" s="8" t="s">
        <v>39</v>
      </c>
      <c r="AQ16" s="9">
        <v>1000</v>
      </c>
      <c r="AR16" s="7">
        <f t="shared" si="8"/>
        <v>0</v>
      </c>
      <c r="AY16" s="84"/>
    </row>
    <row r="17" spans="2:51" ht="15.75" thickBot="1" x14ac:dyDescent="0.3">
      <c r="B17" s="8" t="s">
        <v>31</v>
      </c>
      <c r="C17" s="9">
        <v>1000</v>
      </c>
      <c r="D17" s="7">
        <f t="shared" si="0"/>
        <v>3</v>
      </c>
      <c r="F17" s="8"/>
      <c r="G17" s="9"/>
      <c r="H17" s="7"/>
      <c r="J17" s="8" t="s">
        <v>71</v>
      </c>
      <c r="K17" s="9">
        <v>500</v>
      </c>
      <c r="L17" s="7">
        <f t="shared" ref="L17:L19" si="12">ROUNDDOWN(L$8/K17,0)</f>
        <v>3</v>
      </c>
      <c r="N17" s="8" t="s">
        <v>37</v>
      </c>
      <c r="O17" s="13">
        <v>500</v>
      </c>
      <c r="P17" s="7">
        <f t="shared" si="10"/>
        <v>0</v>
      </c>
      <c r="R17" s="8" t="s">
        <v>72</v>
      </c>
      <c r="S17" s="13">
        <v>500</v>
      </c>
      <c r="T17" s="7">
        <f t="shared" si="3"/>
        <v>1</v>
      </c>
      <c r="U17" s="19"/>
      <c r="V17" s="8" t="s">
        <v>73</v>
      </c>
      <c r="W17" s="13">
        <v>500</v>
      </c>
      <c r="X17" s="7">
        <f t="shared" si="4"/>
        <v>0</v>
      </c>
      <c r="Z17" s="2" t="s">
        <v>43</v>
      </c>
      <c r="AA17" s="14">
        <v>1000</v>
      </c>
      <c r="AB17" s="11">
        <f t="shared" si="5"/>
        <v>0</v>
      </c>
      <c r="AD17" s="26" t="s">
        <v>35</v>
      </c>
      <c r="AE17" s="6">
        <f>IF($AF$8&gt;1,500,30000)</f>
        <v>500</v>
      </c>
      <c r="AF17" s="7">
        <f t="shared" si="6"/>
        <v>6</v>
      </c>
      <c r="AG17" s="19"/>
      <c r="AH17" s="26" t="s">
        <v>35</v>
      </c>
      <c r="AI17" s="6">
        <f t="shared" si="7"/>
        <v>250</v>
      </c>
      <c r="AJ17" s="7">
        <f t="shared" si="11"/>
        <v>12</v>
      </c>
      <c r="AP17" s="8"/>
      <c r="AQ17" s="9"/>
      <c r="AR17" s="7"/>
    </row>
    <row r="18" spans="2:51" x14ac:dyDescent="0.25">
      <c r="B18" s="8" t="s">
        <v>74</v>
      </c>
      <c r="C18" s="9">
        <v>500</v>
      </c>
      <c r="D18" s="7">
        <f t="shared" si="0"/>
        <v>6</v>
      </c>
      <c r="F18" s="8"/>
      <c r="G18" s="9"/>
      <c r="H18" s="7"/>
      <c r="J18" s="8" t="s">
        <v>73</v>
      </c>
      <c r="K18" s="9">
        <v>500</v>
      </c>
      <c r="L18" s="7">
        <f t="shared" si="12"/>
        <v>3</v>
      </c>
      <c r="N18" s="8" t="s">
        <v>33</v>
      </c>
      <c r="O18" s="13">
        <v>500</v>
      </c>
      <c r="P18" s="7">
        <f t="shared" si="10"/>
        <v>0</v>
      </c>
      <c r="R18" s="8" t="s">
        <v>75</v>
      </c>
      <c r="S18" s="13">
        <v>500</v>
      </c>
      <c r="T18" s="7">
        <f t="shared" si="3"/>
        <v>1</v>
      </c>
      <c r="U18" s="19"/>
      <c r="V18" s="8" t="s">
        <v>76</v>
      </c>
      <c r="W18" s="13">
        <v>500</v>
      </c>
      <c r="X18" s="7">
        <f t="shared" si="4"/>
        <v>0</v>
      </c>
      <c r="AD18" s="8" t="s">
        <v>39</v>
      </c>
      <c r="AE18" s="6">
        <f>IF($AF$8&gt;1,1000,10000)</f>
        <v>1000</v>
      </c>
      <c r="AF18" s="7">
        <f t="shared" si="6"/>
        <v>3</v>
      </c>
      <c r="AG18" s="19"/>
      <c r="AH18" s="8" t="s">
        <v>39</v>
      </c>
      <c r="AI18" s="6">
        <f>IF($AJ$8&gt;1,500,30000)</f>
        <v>500</v>
      </c>
      <c r="AJ18" s="7">
        <f t="shared" si="11"/>
        <v>6</v>
      </c>
      <c r="AP18" s="8"/>
      <c r="AQ18" s="9"/>
      <c r="AR18" s="7"/>
    </row>
    <row r="19" spans="2:51" ht="16.5" x14ac:dyDescent="0.25">
      <c r="B19" s="8" t="s">
        <v>77</v>
      </c>
      <c r="C19" s="9">
        <v>500</v>
      </c>
      <c r="D19" s="7">
        <f t="shared" si="0"/>
        <v>6</v>
      </c>
      <c r="F19" s="8"/>
      <c r="G19" s="9"/>
      <c r="H19" s="7"/>
      <c r="J19" s="8" t="s">
        <v>39</v>
      </c>
      <c r="K19" s="9">
        <v>1000</v>
      </c>
      <c r="L19" s="7">
        <f t="shared" si="12"/>
        <v>1</v>
      </c>
      <c r="N19" s="8" t="s">
        <v>39</v>
      </c>
      <c r="O19" s="13">
        <v>1000</v>
      </c>
      <c r="P19" s="7">
        <f t="shared" si="10"/>
        <v>0</v>
      </c>
      <c r="R19" s="8" t="s">
        <v>31</v>
      </c>
      <c r="S19" s="13">
        <v>500</v>
      </c>
      <c r="T19" s="7">
        <f>ROUNDDOWN(T$8/S19,0)</f>
        <v>1</v>
      </c>
      <c r="U19" s="19"/>
      <c r="V19" s="8" t="s">
        <v>76</v>
      </c>
      <c r="W19" s="13">
        <v>500</v>
      </c>
      <c r="X19" s="7">
        <f t="shared" si="4"/>
        <v>0</v>
      </c>
      <c r="AD19" s="8" t="s">
        <v>41</v>
      </c>
      <c r="AE19" s="6">
        <f>IF($AF$8&gt;1,500,15000)</f>
        <v>500</v>
      </c>
      <c r="AF19" s="7">
        <f t="shared" si="6"/>
        <v>6</v>
      </c>
      <c r="AG19" s="19"/>
      <c r="AH19" s="8"/>
      <c r="AI19" s="6"/>
      <c r="AJ19" s="7"/>
      <c r="AP19" s="8"/>
      <c r="AQ19" s="9"/>
      <c r="AR19" s="7"/>
      <c r="AY19" s="84"/>
    </row>
    <row r="20" spans="2:51" ht="15.75" thickBot="1" x14ac:dyDescent="0.3">
      <c r="B20" s="8" t="s">
        <v>78</v>
      </c>
      <c r="C20" s="9">
        <v>500</v>
      </c>
      <c r="D20" s="7">
        <f t="shared" si="0"/>
        <v>6</v>
      </c>
      <c r="F20" s="2"/>
      <c r="G20" s="10"/>
      <c r="H20" s="11"/>
      <c r="J20" s="8"/>
      <c r="K20" s="9"/>
      <c r="L20" s="7"/>
      <c r="N20" s="2"/>
      <c r="O20" s="13"/>
      <c r="P20" s="11"/>
      <c r="R20" s="8" t="s">
        <v>39</v>
      </c>
      <c r="S20" s="13">
        <v>1000</v>
      </c>
      <c r="T20" s="7">
        <f>ROUNDDOWN(T$8/S20,0)</f>
        <v>0</v>
      </c>
      <c r="U20" s="19"/>
      <c r="V20" s="8" t="s">
        <v>39</v>
      </c>
      <c r="W20" s="13">
        <v>1000</v>
      </c>
      <c r="X20" s="7">
        <f t="shared" si="4"/>
        <v>0</v>
      </c>
      <c r="AD20" s="2"/>
      <c r="AE20" s="10"/>
      <c r="AF20" s="11">
        <v>0</v>
      </c>
      <c r="AG20" s="19"/>
      <c r="AH20" s="2"/>
      <c r="AI20" s="10"/>
      <c r="AJ20" s="11"/>
      <c r="AP20" s="2"/>
      <c r="AQ20" s="10"/>
      <c r="AR20" s="11"/>
    </row>
    <row r="21" spans="2:51" ht="17.25" thickBot="1" x14ac:dyDescent="0.3">
      <c r="B21" s="8" t="s">
        <v>39</v>
      </c>
      <c r="C21" s="9">
        <v>1000</v>
      </c>
      <c r="D21" s="7">
        <f t="shared" si="0"/>
        <v>3</v>
      </c>
      <c r="J21" s="8"/>
      <c r="K21" s="9"/>
      <c r="L21" s="7"/>
      <c r="R21" s="2"/>
      <c r="S21" s="13"/>
      <c r="T21" s="11"/>
      <c r="U21" s="19"/>
      <c r="V21" s="2" t="s">
        <v>43</v>
      </c>
      <c r="W21" s="13">
        <v>1000</v>
      </c>
      <c r="X21" s="11">
        <f t="shared" si="4"/>
        <v>0</v>
      </c>
      <c r="AY21" s="84"/>
    </row>
    <row r="22" spans="2:51" x14ac:dyDescent="0.25">
      <c r="B22" s="8"/>
      <c r="C22" s="9"/>
      <c r="D22" s="7"/>
      <c r="J22" s="8"/>
      <c r="K22" s="9"/>
      <c r="L22" s="7"/>
      <c r="V22" s="19"/>
      <c r="W22" s="19"/>
      <c r="X22" s="19"/>
    </row>
    <row r="23" spans="2:51" ht="17.25" thickBot="1" x14ac:dyDescent="0.3">
      <c r="B23" s="2"/>
      <c r="C23" s="10"/>
      <c r="D23" s="11"/>
      <c r="J23" s="2"/>
      <c r="K23" s="10"/>
      <c r="L23" s="11"/>
      <c r="V23" s="19"/>
      <c r="W23" s="19"/>
      <c r="X23" s="19"/>
      <c r="AY23" s="84"/>
    </row>
    <row r="24" spans="2:51" ht="15.75" thickBot="1" x14ac:dyDescent="0.3">
      <c r="C24" s="19"/>
      <c r="D24" s="19"/>
      <c r="V24" s="19"/>
      <c r="W24" s="19"/>
      <c r="X24" s="19"/>
    </row>
    <row r="25" spans="2:51" ht="21.75" thickBot="1" x14ac:dyDescent="0.4">
      <c r="B25" s="1" t="s">
        <v>50</v>
      </c>
      <c r="C25" s="112" t="s">
        <v>46</v>
      </c>
      <c r="D25" s="113"/>
      <c r="F25" s="1" t="s">
        <v>51</v>
      </c>
      <c r="G25" s="112" t="s">
        <v>52</v>
      </c>
      <c r="H25" s="113"/>
      <c r="J25" s="1" t="s">
        <v>51</v>
      </c>
      <c r="K25" s="112" t="s">
        <v>53</v>
      </c>
      <c r="L25" s="113"/>
      <c r="N25" s="1" t="s">
        <v>54</v>
      </c>
      <c r="O25" s="112" t="s">
        <v>13</v>
      </c>
      <c r="P25" s="113"/>
      <c r="R25" s="1" t="s">
        <v>55</v>
      </c>
      <c r="S25" s="112" t="s">
        <v>13</v>
      </c>
      <c r="T25" s="113"/>
      <c r="U25" s="21"/>
      <c r="V25" s="1" t="s">
        <v>56</v>
      </c>
      <c r="W25" s="112" t="s">
        <v>13</v>
      </c>
      <c r="X25" s="113"/>
      <c r="Z25" s="1" t="s">
        <v>57</v>
      </c>
      <c r="AA25" s="112" t="s">
        <v>58</v>
      </c>
      <c r="AB25" s="113"/>
      <c r="AD25" s="1" t="s">
        <v>15</v>
      </c>
      <c r="AE25" s="112" t="s">
        <v>16</v>
      </c>
      <c r="AF25" s="113"/>
      <c r="AG25" s="21"/>
      <c r="AH25" s="1" t="s">
        <v>59</v>
      </c>
      <c r="AI25" s="112" t="s">
        <v>60</v>
      </c>
      <c r="AJ25" s="113"/>
      <c r="AL25" s="1" t="s">
        <v>61</v>
      </c>
      <c r="AM25" s="112" t="s">
        <v>16</v>
      </c>
      <c r="AN25" s="113"/>
      <c r="AP25" s="1" t="str">
        <f>AP6</f>
        <v>Manipulador</v>
      </c>
      <c r="AQ25" s="112" t="s">
        <v>52</v>
      </c>
      <c r="AR25" s="113"/>
    </row>
    <row r="26" spans="2:51" ht="16.5" x14ac:dyDescent="0.25">
      <c r="B26" s="100" t="s">
        <v>17</v>
      </c>
      <c r="C26" s="101"/>
      <c r="D26" s="47">
        <f>D7</f>
        <v>9</v>
      </c>
      <c r="F26" s="100" t="s">
        <v>18</v>
      </c>
      <c r="G26" s="101"/>
      <c r="H26" s="47">
        <f>H7</f>
        <v>9</v>
      </c>
      <c r="J26" s="100" t="s">
        <v>18</v>
      </c>
      <c r="K26" s="101"/>
      <c r="L26" s="47">
        <f>L7</f>
        <v>3</v>
      </c>
      <c r="N26" s="100" t="s">
        <v>18</v>
      </c>
      <c r="O26" s="101"/>
      <c r="P26" s="47">
        <v>1</v>
      </c>
      <c r="R26" s="100" t="s">
        <v>17</v>
      </c>
      <c r="S26" s="101"/>
      <c r="T26" s="47">
        <f>T7</f>
        <v>1</v>
      </c>
      <c r="U26" s="22"/>
      <c r="V26" s="100" t="s">
        <v>18</v>
      </c>
      <c r="W26" s="101"/>
      <c r="X26" s="47">
        <f>X7</f>
        <v>0</v>
      </c>
      <c r="Z26" s="100" t="s">
        <v>18</v>
      </c>
      <c r="AA26" s="101"/>
      <c r="AB26" s="47">
        <f>AB7</f>
        <v>0</v>
      </c>
      <c r="AD26" s="100" t="s">
        <v>18</v>
      </c>
      <c r="AE26" s="101"/>
      <c r="AF26" s="47">
        <f>AF7</f>
        <v>15</v>
      </c>
      <c r="AG26" s="22"/>
      <c r="AH26" s="100" t="s">
        <v>18</v>
      </c>
      <c r="AI26" s="101"/>
      <c r="AJ26" s="48">
        <f>AJ7</f>
        <v>15</v>
      </c>
      <c r="AL26" s="100" t="s">
        <v>18</v>
      </c>
      <c r="AM26" s="101"/>
      <c r="AN26" s="47">
        <f>AN7</f>
        <v>1</v>
      </c>
      <c r="AO26" t="s">
        <v>94</v>
      </c>
      <c r="AP26" s="100" t="s">
        <v>18</v>
      </c>
      <c r="AQ26" s="101"/>
      <c r="AR26" s="47">
        <f>AR7</f>
        <v>1</v>
      </c>
      <c r="AY26" s="84"/>
    </row>
    <row r="27" spans="2:51" x14ac:dyDescent="0.25">
      <c r="B27" s="104" t="s">
        <v>19</v>
      </c>
      <c r="C27" s="105"/>
      <c r="D27" s="47">
        <f>D8</f>
        <v>3000</v>
      </c>
      <c r="F27" s="104" t="s">
        <v>19</v>
      </c>
      <c r="G27" s="105"/>
      <c r="H27" s="47">
        <f>H8</f>
        <v>3000</v>
      </c>
      <c r="J27" s="104" t="s">
        <v>19</v>
      </c>
      <c r="K27" s="105"/>
      <c r="L27" s="47">
        <f>L8</f>
        <v>1500</v>
      </c>
      <c r="N27" s="104" t="s">
        <v>19</v>
      </c>
      <c r="O27" s="105"/>
      <c r="P27" s="47">
        <f>P8</f>
        <v>300</v>
      </c>
      <c r="R27" s="104" t="s">
        <v>19</v>
      </c>
      <c r="S27" s="105"/>
      <c r="T27" s="47">
        <f>T8</f>
        <v>800</v>
      </c>
      <c r="U27" s="22"/>
      <c r="V27" s="104" t="s">
        <v>19</v>
      </c>
      <c r="W27" s="105"/>
      <c r="X27" s="47">
        <f>X8</f>
        <v>0</v>
      </c>
      <c r="Z27" s="104" t="s">
        <v>19</v>
      </c>
      <c r="AA27" s="105"/>
      <c r="AB27" s="47">
        <f>AB8</f>
        <v>0</v>
      </c>
      <c r="AD27" s="104" t="s">
        <v>19</v>
      </c>
      <c r="AE27" s="105"/>
      <c r="AF27" s="47">
        <f>AF8</f>
        <v>3000</v>
      </c>
      <c r="AG27" s="22"/>
      <c r="AH27" s="114" t="s">
        <v>19</v>
      </c>
      <c r="AI27" s="115"/>
      <c r="AJ27" s="49">
        <f t="shared" ref="AJ27:AJ31" si="13">AJ8</f>
        <v>3000</v>
      </c>
      <c r="AL27" s="104" t="s">
        <v>19</v>
      </c>
      <c r="AM27" s="105"/>
      <c r="AN27" s="47">
        <f>AN8</f>
        <v>3080</v>
      </c>
      <c r="AP27" s="104" t="s">
        <v>19</v>
      </c>
      <c r="AQ27" s="105"/>
      <c r="AR27" s="47">
        <f>AR8</f>
        <v>600</v>
      </c>
    </row>
    <row r="28" spans="2:51" ht="16.5" x14ac:dyDescent="0.25">
      <c r="B28" s="104" t="s">
        <v>20</v>
      </c>
      <c r="C28" s="105"/>
      <c r="D28" s="47">
        <f>D9</f>
        <v>9</v>
      </c>
      <c r="F28" s="104" t="s">
        <v>20</v>
      </c>
      <c r="G28" s="105"/>
      <c r="H28" s="47">
        <f>H9</f>
        <v>3</v>
      </c>
      <c r="J28" s="104" t="s">
        <v>20</v>
      </c>
      <c r="K28" s="105"/>
      <c r="L28" s="47">
        <f>L9</f>
        <v>7</v>
      </c>
      <c r="N28" s="104" t="s">
        <v>20</v>
      </c>
      <c r="O28" s="105"/>
      <c r="P28" s="47">
        <f>P9</f>
        <v>6</v>
      </c>
      <c r="R28" s="104" t="s">
        <v>20</v>
      </c>
      <c r="S28" s="105"/>
      <c r="T28" s="47">
        <f>T9</f>
        <v>9</v>
      </c>
      <c r="U28" s="22"/>
      <c r="V28" s="104" t="s">
        <v>20</v>
      </c>
      <c r="W28" s="105"/>
      <c r="X28" s="47">
        <f>X9</f>
        <v>9</v>
      </c>
      <c r="Z28" s="104" t="s">
        <v>20</v>
      </c>
      <c r="AA28" s="105"/>
      <c r="AB28" s="47">
        <f>AB9</f>
        <v>0</v>
      </c>
      <c r="AD28" s="104" t="s">
        <v>20</v>
      </c>
      <c r="AE28" s="105"/>
      <c r="AF28" s="47">
        <f>AF9</f>
        <v>7</v>
      </c>
      <c r="AG28" s="22"/>
      <c r="AH28" s="114" t="s">
        <v>20</v>
      </c>
      <c r="AI28" s="115"/>
      <c r="AJ28" s="49">
        <f t="shared" si="13"/>
        <v>12</v>
      </c>
      <c r="AL28" s="104" t="s">
        <v>20</v>
      </c>
      <c r="AM28" s="105"/>
      <c r="AN28" s="47">
        <f>AN9</f>
        <v>7</v>
      </c>
      <c r="AP28" s="104" t="s">
        <v>20</v>
      </c>
      <c r="AQ28" s="105"/>
      <c r="AR28" s="47">
        <f>AR9</f>
        <v>12</v>
      </c>
      <c r="AY28" s="84"/>
    </row>
    <row r="29" spans="2:51" x14ac:dyDescent="0.25">
      <c r="B29" s="110" t="s">
        <v>21</v>
      </c>
      <c r="C29" s="111"/>
      <c r="D29" s="37">
        <f>SUM(D33:D42)*D26</f>
        <v>567</v>
      </c>
      <c r="F29" s="110" t="s">
        <v>21</v>
      </c>
      <c r="G29" s="111"/>
      <c r="H29" s="37">
        <f>SUM(H33:H39)*H26</f>
        <v>216</v>
      </c>
      <c r="J29" s="110" t="s">
        <v>21</v>
      </c>
      <c r="K29" s="111"/>
      <c r="L29" s="37">
        <f>SUM(L33:L42)*L26</f>
        <v>60</v>
      </c>
      <c r="N29" s="110" t="s">
        <v>21</v>
      </c>
      <c r="O29" s="111"/>
      <c r="P29" s="37">
        <f>SUM(P33:P39)*P26</f>
        <v>1</v>
      </c>
      <c r="R29" s="110" t="s">
        <v>21</v>
      </c>
      <c r="S29" s="111"/>
      <c r="T29" s="37">
        <f>SUM(T33:T40)*T26</f>
        <v>8</v>
      </c>
      <c r="U29" s="22"/>
      <c r="V29" s="110" t="s">
        <v>21</v>
      </c>
      <c r="W29" s="111"/>
      <c r="X29" s="37">
        <f>SUM(X33:X40)*X26</f>
        <v>0</v>
      </c>
      <c r="Z29" s="110" t="s">
        <v>21</v>
      </c>
      <c r="AA29" s="111"/>
      <c r="AB29" s="37">
        <f>SUM(AB33:AB36)*AB26</f>
        <v>0</v>
      </c>
      <c r="AD29" s="110" t="s">
        <v>21</v>
      </c>
      <c r="AE29" s="111"/>
      <c r="AF29" s="37">
        <f>SUM(AF33:AF39)*AF26</f>
        <v>405</v>
      </c>
      <c r="AG29" s="35"/>
      <c r="AH29" s="116" t="s">
        <v>21</v>
      </c>
      <c r="AI29" s="117"/>
      <c r="AJ29" s="37">
        <f t="shared" si="13"/>
        <v>810</v>
      </c>
      <c r="AL29" s="110" t="s">
        <v>21</v>
      </c>
      <c r="AM29" s="111"/>
      <c r="AN29" s="37">
        <f>SUM(AN33:AN34)*AN26</f>
        <v>15</v>
      </c>
      <c r="AP29" s="110" t="s">
        <v>21</v>
      </c>
      <c r="AQ29" s="111"/>
      <c r="AR29" s="37">
        <f>SUM(AR33:AR39)*AR26</f>
        <v>3</v>
      </c>
    </row>
    <row r="30" spans="2:51" x14ac:dyDescent="0.25">
      <c r="B30" s="110" t="s">
        <v>22</v>
      </c>
      <c r="C30" s="111"/>
      <c r="D30" s="38">
        <f>D29/D28</f>
        <v>63</v>
      </c>
      <c r="F30" s="110" t="s">
        <v>22</v>
      </c>
      <c r="G30" s="111"/>
      <c r="H30" s="38">
        <f>H29/H28</f>
        <v>72</v>
      </c>
      <c r="J30" s="110" t="s">
        <v>22</v>
      </c>
      <c r="K30" s="111"/>
      <c r="L30" s="38">
        <f>L29/L28</f>
        <v>8.5714285714285712</v>
      </c>
      <c r="N30" s="110" t="s">
        <v>22</v>
      </c>
      <c r="O30" s="111"/>
      <c r="P30" s="38">
        <f>P29/P28</f>
        <v>0.16666666666666666</v>
      </c>
      <c r="R30" s="110" t="s">
        <v>22</v>
      </c>
      <c r="S30" s="111"/>
      <c r="T30" s="38">
        <f>T29/T28</f>
        <v>0.88888888888888884</v>
      </c>
      <c r="U30" s="20"/>
      <c r="V30" s="110" t="s">
        <v>22</v>
      </c>
      <c r="W30" s="111"/>
      <c r="X30" s="38">
        <f>X29/X28</f>
        <v>0</v>
      </c>
      <c r="Z30" s="110" t="s">
        <v>22</v>
      </c>
      <c r="AA30" s="111"/>
      <c r="AB30" s="38" t="e">
        <f>AB29/AB28</f>
        <v>#DIV/0!</v>
      </c>
      <c r="AD30" s="110" t="s">
        <v>22</v>
      </c>
      <c r="AE30" s="111"/>
      <c r="AF30" s="37">
        <f>AF29/AF28</f>
        <v>57.857142857142854</v>
      </c>
      <c r="AG30" s="35"/>
      <c r="AH30" s="116" t="s">
        <v>22</v>
      </c>
      <c r="AI30" s="117"/>
      <c r="AJ30" s="37">
        <f t="shared" si="13"/>
        <v>67.5</v>
      </c>
      <c r="AL30" s="110" t="s">
        <v>22</v>
      </c>
      <c r="AM30" s="111"/>
      <c r="AN30" s="37">
        <f>AN29/AN28</f>
        <v>2.1428571428571428</v>
      </c>
      <c r="AP30" s="110" t="s">
        <v>22</v>
      </c>
      <c r="AQ30" s="111"/>
      <c r="AR30" s="38">
        <f>AR29/AR28</f>
        <v>0.25</v>
      </c>
    </row>
    <row r="31" spans="2:51" ht="16.5" x14ac:dyDescent="0.25">
      <c r="B31" s="15"/>
      <c r="C31" s="16"/>
      <c r="D31" s="17"/>
      <c r="F31" s="15"/>
      <c r="G31" s="16"/>
      <c r="H31" s="17"/>
      <c r="J31" s="15"/>
      <c r="K31" s="16"/>
      <c r="L31" s="17"/>
      <c r="N31" s="15"/>
      <c r="O31" s="16"/>
      <c r="P31" s="17"/>
      <c r="R31" s="15"/>
      <c r="S31" s="16"/>
      <c r="T31" s="17"/>
      <c r="U31" s="20"/>
      <c r="V31" s="15"/>
      <c r="W31" s="16"/>
      <c r="X31" s="17"/>
      <c r="Z31" s="15"/>
      <c r="AA31" s="16"/>
      <c r="AB31" s="17"/>
      <c r="AD31" s="96" t="s">
        <v>62</v>
      </c>
      <c r="AE31" s="97"/>
      <c r="AF31" s="12"/>
      <c r="AG31" s="36"/>
      <c r="AH31" s="27" t="s">
        <v>62</v>
      </c>
      <c r="AI31" s="28"/>
      <c r="AJ31" s="12">
        <f t="shared" si="13"/>
        <v>0</v>
      </c>
      <c r="AL31" s="15"/>
      <c r="AM31" s="16"/>
      <c r="AN31" s="18"/>
      <c r="AP31" s="15"/>
      <c r="AQ31" s="16"/>
      <c r="AR31" s="17"/>
      <c r="AY31" s="84"/>
    </row>
    <row r="32" spans="2:51" ht="15.75" thickBot="1" x14ac:dyDescent="0.3">
      <c r="B32" s="2" t="s">
        <v>24</v>
      </c>
      <c r="C32" s="3" t="s">
        <v>25</v>
      </c>
      <c r="D32" s="4" t="s">
        <v>26</v>
      </c>
      <c r="F32" s="2" t="s">
        <v>24</v>
      </c>
      <c r="G32" s="3" t="s">
        <v>25</v>
      </c>
      <c r="H32" s="4" t="s">
        <v>26</v>
      </c>
      <c r="J32" s="2" t="s">
        <v>24</v>
      </c>
      <c r="K32" s="3" t="s">
        <v>25</v>
      </c>
      <c r="L32" s="4" t="s">
        <v>26</v>
      </c>
      <c r="N32" s="2" t="s">
        <v>24</v>
      </c>
      <c r="O32" s="3" t="s">
        <v>25</v>
      </c>
      <c r="P32" s="4" t="s">
        <v>26</v>
      </c>
      <c r="R32" s="2" t="s">
        <v>24</v>
      </c>
      <c r="S32" s="3" t="s">
        <v>25</v>
      </c>
      <c r="T32" s="4" t="s">
        <v>26</v>
      </c>
      <c r="V32" s="2" t="s">
        <v>24</v>
      </c>
      <c r="W32" s="3" t="s">
        <v>25</v>
      </c>
      <c r="X32" s="4" t="s">
        <v>26</v>
      </c>
      <c r="Z32" s="2" t="s">
        <v>24</v>
      </c>
      <c r="AA32" s="3" t="s">
        <v>25</v>
      </c>
      <c r="AB32" s="4" t="s">
        <v>26</v>
      </c>
      <c r="AD32" s="2" t="s">
        <v>24</v>
      </c>
      <c r="AE32" s="3" t="s">
        <v>25</v>
      </c>
      <c r="AF32" s="4" t="s">
        <v>26</v>
      </c>
      <c r="AH32" s="2" t="s">
        <v>24</v>
      </c>
      <c r="AI32" s="3" t="s">
        <v>25</v>
      </c>
      <c r="AJ32" s="4" t="s">
        <v>26</v>
      </c>
      <c r="AL32" s="2" t="s">
        <v>24</v>
      </c>
      <c r="AM32" s="3" t="s">
        <v>25</v>
      </c>
      <c r="AN32" s="4" t="s">
        <v>26</v>
      </c>
      <c r="AP32" s="2" t="s">
        <v>24</v>
      </c>
      <c r="AQ32" s="3" t="s">
        <v>25</v>
      </c>
      <c r="AR32" s="4" t="s">
        <v>26</v>
      </c>
    </row>
    <row r="33" spans="2:51" ht="16.5" x14ac:dyDescent="0.25">
      <c r="B33" s="5" t="s">
        <v>28</v>
      </c>
      <c r="C33" s="6">
        <v>250</v>
      </c>
      <c r="D33" s="7">
        <f>ROUNDDOWN(D$8/C33,0)</f>
        <v>12</v>
      </c>
      <c r="F33" s="5" t="s">
        <v>28</v>
      </c>
      <c r="G33" s="6">
        <v>250</v>
      </c>
      <c r="H33" s="7">
        <f>ROUNDDOWN(H$8/G33,0)</f>
        <v>12</v>
      </c>
      <c r="J33" s="5" t="s">
        <v>28</v>
      </c>
      <c r="K33" s="6">
        <v>250</v>
      </c>
      <c r="L33" s="7">
        <f>ROUNDDOWN(L$8/K33,0)</f>
        <v>6</v>
      </c>
      <c r="N33" s="5" t="s">
        <v>28</v>
      </c>
      <c r="O33" s="13">
        <v>250</v>
      </c>
      <c r="P33" s="7">
        <f>ROUNDDOWN(P$8/O33,0)</f>
        <v>1</v>
      </c>
      <c r="R33" s="5" t="s">
        <v>28</v>
      </c>
      <c r="S33" s="13">
        <v>250</v>
      </c>
      <c r="T33" s="7">
        <f>ROUNDDOWN(T$8/S33,0)</f>
        <v>3</v>
      </c>
      <c r="U33" s="19"/>
      <c r="V33" s="5" t="s">
        <v>28</v>
      </c>
      <c r="W33" s="13">
        <v>250</v>
      </c>
      <c r="X33" s="7">
        <f>ROUNDDOWN(X$8/W33,0)</f>
        <v>0</v>
      </c>
      <c r="Z33" s="5" t="s">
        <v>28</v>
      </c>
      <c r="AA33" s="14">
        <v>250</v>
      </c>
      <c r="AB33" s="7">
        <f>ROUNDDOWN(AB$8/AA33,0)</f>
        <v>0</v>
      </c>
      <c r="AD33" s="5" t="s">
        <v>28</v>
      </c>
      <c r="AE33" s="6">
        <f>IF($AR$8&gt;1,250,15000)</f>
        <v>250</v>
      </c>
      <c r="AF33" s="7">
        <f>ROUNDDOWN(IF(AF$8&gt;1,AF$8/AE33,AF$12/AE33),0)</f>
        <v>12</v>
      </c>
      <c r="AG33" s="19"/>
      <c r="AH33" s="5" t="s">
        <v>28</v>
      </c>
      <c r="AI33" s="6">
        <f>IF($AJ$8&gt;1,250,15000)</f>
        <v>250</v>
      </c>
      <c r="AJ33" s="7">
        <f>ROUNDDOWN(IF(AJ$8&gt;1,AJ$8/AI33,AJ$12/AI33),0)</f>
        <v>12</v>
      </c>
      <c r="AL33" s="5" t="s">
        <v>28</v>
      </c>
      <c r="AM33" s="6">
        <v>250</v>
      </c>
      <c r="AN33" s="7">
        <f>ROUNDDOWN(AN$8/AM33,0)</f>
        <v>12</v>
      </c>
      <c r="AP33" s="5" t="s">
        <v>28</v>
      </c>
      <c r="AQ33" s="6">
        <v>250</v>
      </c>
      <c r="AR33" s="7">
        <f>ROUNDDOWN(AR$8/AQ33,0)</f>
        <v>2</v>
      </c>
      <c r="AY33" s="84"/>
    </row>
    <row r="34" spans="2:51" ht="15.75" thickBot="1" x14ac:dyDescent="0.3">
      <c r="B34" s="8" t="s">
        <v>37</v>
      </c>
      <c r="C34" s="9">
        <v>250</v>
      </c>
      <c r="D34" s="7">
        <f t="shared" ref="D34:D41" si="14">ROUNDDOWN(D$8/C34,0)</f>
        <v>12</v>
      </c>
      <c r="F34" s="8" t="s">
        <v>63</v>
      </c>
      <c r="G34" s="9">
        <v>500</v>
      </c>
      <c r="H34" s="7">
        <f t="shared" ref="H34:H36" si="15">ROUNDDOWN(H$8/G34,0)</f>
        <v>6</v>
      </c>
      <c r="J34" s="8" t="s">
        <v>64</v>
      </c>
      <c r="K34" s="9">
        <v>500</v>
      </c>
      <c r="L34" s="7">
        <f t="shared" ref="L34:L39" si="16">ROUNDDOWN(L$8/K34,0)</f>
        <v>3</v>
      </c>
      <c r="N34" s="8" t="s">
        <v>65</v>
      </c>
      <c r="O34" s="13">
        <v>500</v>
      </c>
      <c r="P34" s="7">
        <f>ROUNDDOWN(P$8/O34,0)</f>
        <v>0</v>
      </c>
      <c r="R34" s="8" t="s">
        <v>66</v>
      </c>
      <c r="S34" s="13">
        <v>500</v>
      </c>
      <c r="T34" s="7">
        <f t="shared" ref="T34:T37" si="17">ROUNDDOWN(T$8/S34,0)</f>
        <v>1</v>
      </c>
      <c r="U34" s="19"/>
      <c r="V34" s="8" t="s">
        <v>65</v>
      </c>
      <c r="W34" s="13">
        <v>250</v>
      </c>
      <c r="X34" s="7">
        <f t="shared" ref="X34:X40" si="18">ROUNDDOWN(X$8/W34,0)</f>
        <v>0</v>
      </c>
      <c r="Z34" s="8" t="s">
        <v>67</v>
      </c>
      <c r="AA34" s="14">
        <v>500</v>
      </c>
      <c r="AB34" s="7">
        <f t="shared" ref="AB34:AB36" si="19">ROUNDDOWN(AB$8/AA34,0)</f>
        <v>0</v>
      </c>
      <c r="AD34" s="8" t="s">
        <v>30</v>
      </c>
      <c r="AE34" s="6">
        <f>IF($AF$8&gt;1,250,15000)</f>
        <v>250</v>
      </c>
      <c r="AF34" s="7">
        <v>0</v>
      </c>
      <c r="AG34" s="19"/>
      <c r="AH34" s="8" t="s">
        <v>30</v>
      </c>
      <c r="AI34" s="6">
        <f t="shared" ref="AI34" si="20">IF($AJ$8&gt;1,250,15000)</f>
        <v>250</v>
      </c>
      <c r="AJ34" s="7">
        <f t="shared" ref="AJ34:AJ39" si="21">ROUNDDOWN(IF(AJ$8&gt;1,AJ$8/AI34,AJ$12/AI34),0)</f>
        <v>12</v>
      </c>
      <c r="AL34" s="2" t="s">
        <v>43</v>
      </c>
      <c r="AM34" s="10">
        <v>1000</v>
      </c>
      <c r="AN34" s="11">
        <f>ROUNDDOWN(AN$8/AM34,0)</f>
        <v>3</v>
      </c>
      <c r="AP34" s="8" t="s">
        <v>63</v>
      </c>
      <c r="AQ34" s="9">
        <v>500</v>
      </c>
      <c r="AR34" s="7">
        <f t="shared" ref="AR34:AR36" si="22">ROUNDDOWN(AR$8/AQ34,0)</f>
        <v>1</v>
      </c>
    </row>
    <row r="35" spans="2:51" x14ac:dyDescent="0.25">
      <c r="B35" s="8" t="s">
        <v>33</v>
      </c>
      <c r="C35" s="9">
        <v>250</v>
      </c>
      <c r="D35" s="7">
        <f t="shared" si="14"/>
        <v>12</v>
      </c>
      <c r="F35" s="8" t="s">
        <v>39</v>
      </c>
      <c r="G35" s="9">
        <v>1000</v>
      </c>
      <c r="H35" s="7">
        <f t="shared" si="15"/>
        <v>3</v>
      </c>
      <c r="J35" s="8" t="s">
        <v>68</v>
      </c>
      <c r="K35" s="9">
        <v>500</v>
      </c>
      <c r="L35" s="7">
        <f t="shared" si="16"/>
        <v>3</v>
      </c>
      <c r="N35" s="8" t="s">
        <v>69</v>
      </c>
      <c r="O35" s="13">
        <v>500</v>
      </c>
      <c r="P35" s="7">
        <f t="shared" ref="P35:P39" si="23">ROUNDDOWN(P$8/O35,0)</f>
        <v>0</v>
      </c>
      <c r="R35" s="8" t="s">
        <v>70</v>
      </c>
      <c r="S35" s="13">
        <v>500</v>
      </c>
      <c r="T35" s="7">
        <f t="shared" si="17"/>
        <v>1</v>
      </c>
      <c r="U35" s="19"/>
      <c r="V35" s="8" t="s">
        <v>71</v>
      </c>
      <c r="W35" s="13">
        <v>500</v>
      </c>
      <c r="X35" s="7">
        <f t="shared" si="18"/>
        <v>0</v>
      </c>
      <c r="Z35" s="8" t="s">
        <v>39</v>
      </c>
      <c r="AA35" s="14">
        <v>1000</v>
      </c>
      <c r="AB35" s="7">
        <f t="shared" si="19"/>
        <v>0</v>
      </c>
      <c r="AD35" s="8" t="s">
        <v>32</v>
      </c>
      <c r="AE35" s="6">
        <f>IF($AF$8&gt;1,500,30000)</f>
        <v>500</v>
      </c>
      <c r="AF35" s="7">
        <f t="shared" ref="AF35:AF37" si="24">ROUNDDOWN(IF(AF$8&gt;1,AF$8/AE35,AF$12/AE35),0)</f>
        <v>6</v>
      </c>
      <c r="AG35" s="19"/>
      <c r="AH35" s="8" t="s">
        <v>32</v>
      </c>
      <c r="AI35" s="6">
        <f>IF($AJ$8&gt;1,500,15000)</f>
        <v>500</v>
      </c>
      <c r="AJ35" s="7">
        <f t="shared" si="21"/>
        <v>6</v>
      </c>
      <c r="AP35" s="8" t="s">
        <v>39</v>
      </c>
      <c r="AQ35" s="9">
        <v>1000</v>
      </c>
      <c r="AR35" s="7">
        <f t="shared" si="22"/>
        <v>0</v>
      </c>
    </row>
    <row r="36" spans="2:51" ht="15.75" thickBot="1" x14ac:dyDescent="0.3">
      <c r="B36" s="8" t="s">
        <v>31</v>
      </c>
      <c r="C36" s="9">
        <v>1000</v>
      </c>
      <c r="D36" s="7">
        <f t="shared" si="14"/>
        <v>3</v>
      </c>
      <c r="F36" s="2" t="s">
        <v>43</v>
      </c>
      <c r="G36" s="10">
        <v>1000</v>
      </c>
      <c r="H36" s="7">
        <f t="shared" si="15"/>
        <v>3</v>
      </c>
      <c r="J36" s="8" t="s">
        <v>71</v>
      </c>
      <c r="K36" s="9">
        <v>500</v>
      </c>
      <c r="L36" s="7">
        <f t="shared" si="16"/>
        <v>3</v>
      </c>
      <c r="N36" s="8" t="s">
        <v>37</v>
      </c>
      <c r="O36" s="13">
        <v>500</v>
      </c>
      <c r="P36" s="7">
        <f t="shared" si="23"/>
        <v>0</v>
      </c>
      <c r="R36" s="8" t="s">
        <v>72</v>
      </c>
      <c r="S36" s="13">
        <v>500</v>
      </c>
      <c r="T36" s="7">
        <f t="shared" si="17"/>
        <v>1</v>
      </c>
      <c r="U36" s="19"/>
      <c r="V36" s="8" t="s">
        <v>73</v>
      </c>
      <c r="W36" s="13">
        <v>500</v>
      </c>
      <c r="X36" s="7">
        <f t="shared" si="18"/>
        <v>0</v>
      </c>
      <c r="Z36" s="2" t="s">
        <v>43</v>
      </c>
      <c r="AA36" s="14">
        <v>1000</v>
      </c>
      <c r="AB36" s="11">
        <f t="shared" si="19"/>
        <v>0</v>
      </c>
      <c r="AD36" s="26" t="s">
        <v>35</v>
      </c>
      <c r="AE36" s="6">
        <f>IF($AF$8&gt;1,500,30000)</f>
        <v>500</v>
      </c>
      <c r="AF36" s="7">
        <f t="shared" si="24"/>
        <v>6</v>
      </c>
      <c r="AG36" s="19"/>
      <c r="AH36" s="26" t="s">
        <v>35</v>
      </c>
      <c r="AI36" s="6">
        <f>IF($AJ$8&gt;1,500,15000)</f>
        <v>500</v>
      </c>
      <c r="AJ36" s="7">
        <f t="shared" si="21"/>
        <v>6</v>
      </c>
      <c r="AP36" s="2" t="s">
        <v>43</v>
      </c>
      <c r="AQ36" s="10">
        <v>1000</v>
      </c>
      <c r="AR36" s="7">
        <f t="shared" si="22"/>
        <v>0</v>
      </c>
    </row>
    <row r="37" spans="2:51" x14ac:dyDescent="0.25">
      <c r="B37" s="8" t="s">
        <v>74</v>
      </c>
      <c r="C37" s="9">
        <v>500</v>
      </c>
      <c r="D37" s="7">
        <f t="shared" si="14"/>
        <v>6</v>
      </c>
      <c r="J37" s="8" t="s">
        <v>73</v>
      </c>
      <c r="K37" s="9">
        <v>500</v>
      </c>
      <c r="L37" s="7">
        <f t="shared" si="16"/>
        <v>3</v>
      </c>
      <c r="N37" s="8" t="s">
        <v>33</v>
      </c>
      <c r="O37" s="13">
        <v>500</v>
      </c>
      <c r="P37" s="7">
        <f t="shared" si="23"/>
        <v>0</v>
      </c>
      <c r="R37" s="8" t="s">
        <v>75</v>
      </c>
      <c r="S37" s="13">
        <v>500</v>
      </c>
      <c r="T37" s="7">
        <f t="shared" si="17"/>
        <v>1</v>
      </c>
      <c r="U37" s="19"/>
      <c r="V37" s="8" t="s">
        <v>76</v>
      </c>
      <c r="W37" s="13">
        <v>500</v>
      </c>
      <c r="X37" s="7">
        <f t="shared" si="18"/>
        <v>0</v>
      </c>
      <c r="AD37" s="8" t="s">
        <v>39</v>
      </c>
      <c r="AE37" s="6">
        <f>IF($AF$8&gt;1,1000,30000)</f>
        <v>1000</v>
      </c>
      <c r="AF37" s="7">
        <f t="shared" si="24"/>
        <v>3</v>
      </c>
      <c r="AG37" s="19"/>
      <c r="AH37" s="8" t="s">
        <v>39</v>
      </c>
      <c r="AI37" s="6">
        <f>IF($AJ$8&gt;1,500,30000)</f>
        <v>500</v>
      </c>
      <c r="AJ37" s="7">
        <f t="shared" si="21"/>
        <v>6</v>
      </c>
    </row>
    <row r="38" spans="2:51" x14ac:dyDescent="0.25">
      <c r="B38" s="8" t="s">
        <v>77</v>
      </c>
      <c r="C38" s="9">
        <v>500</v>
      </c>
      <c r="D38" s="7">
        <f t="shared" si="14"/>
        <v>6</v>
      </c>
      <c r="J38" s="8" t="s">
        <v>39</v>
      </c>
      <c r="K38" s="9">
        <v>1000</v>
      </c>
      <c r="L38" s="7">
        <f t="shared" si="16"/>
        <v>1</v>
      </c>
      <c r="N38" s="8" t="s">
        <v>39</v>
      </c>
      <c r="O38" s="13">
        <v>1000</v>
      </c>
      <c r="P38" s="7">
        <f t="shared" si="23"/>
        <v>0</v>
      </c>
      <c r="R38" s="8" t="s">
        <v>31</v>
      </c>
      <c r="S38" s="13">
        <v>500</v>
      </c>
      <c r="T38" s="7">
        <f>ROUNDDOWN(T$8/S38,0)</f>
        <v>1</v>
      </c>
      <c r="U38" s="19"/>
      <c r="V38" s="8" t="s">
        <v>76</v>
      </c>
      <c r="W38" s="13">
        <v>500</v>
      </c>
      <c r="X38" s="7">
        <f t="shared" si="18"/>
        <v>0</v>
      </c>
      <c r="AD38" s="8" t="s">
        <v>41</v>
      </c>
      <c r="AE38" s="6">
        <f>IF($AF$8&gt;1,1000,30000)</f>
        <v>1000</v>
      </c>
      <c r="AF38" s="7">
        <v>0</v>
      </c>
      <c r="AG38" s="19"/>
      <c r="AH38" s="8"/>
      <c r="AI38" s="6"/>
      <c r="AJ38" s="7"/>
    </row>
    <row r="39" spans="2:51" ht="15.75" thickBot="1" x14ac:dyDescent="0.3">
      <c r="B39" s="8" t="s">
        <v>78</v>
      </c>
      <c r="C39" s="9">
        <v>500</v>
      </c>
      <c r="D39" s="7">
        <f t="shared" si="14"/>
        <v>6</v>
      </c>
      <c r="J39" s="2" t="s">
        <v>43</v>
      </c>
      <c r="K39" s="10">
        <v>1000</v>
      </c>
      <c r="L39" s="11">
        <f t="shared" si="16"/>
        <v>1</v>
      </c>
      <c r="N39" s="2" t="s">
        <v>43</v>
      </c>
      <c r="O39" s="13">
        <v>1000</v>
      </c>
      <c r="P39" s="11">
        <f t="shared" si="23"/>
        <v>0</v>
      </c>
      <c r="R39" s="8" t="s">
        <v>39</v>
      </c>
      <c r="S39" s="13">
        <v>1000</v>
      </c>
      <c r="T39" s="7">
        <f>ROUNDDOWN(T$8/S39,0)</f>
        <v>0</v>
      </c>
      <c r="U39" s="19"/>
      <c r="V39" s="8" t="s">
        <v>39</v>
      </c>
      <c r="W39" s="13">
        <v>1000</v>
      </c>
      <c r="X39" s="7">
        <f t="shared" si="18"/>
        <v>0</v>
      </c>
      <c r="AD39" s="2" t="s">
        <v>43</v>
      </c>
      <c r="AE39" s="6">
        <f>IF($AF$8&gt;1,1000,60000)</f>
        <v>1000</v>
      </c>
      <c r="AF39" s="11">
        <v>0</v>
      </c>
      <c r="AG39" s="19"/>
      <c r="AH39" s="2" t="s">
        <v>43</v>
      </c>
      <c r="AI39" s="6">
        <f>IF($AJ$8&gt;1,1000,60000)</f>
        <v>1000</v>
      </c>
      <c r="AJ39" s="7">
        <f t="shared" si="21"/>
        <v>3</v>
      </c>
    </row>
    <row r="40" spans="2:51" ht="15.75" thickBot="1" x14ac:dyDescent="0.3">
      <c r="B40" s="8" t="s">
        <v>39</v>
      </c>
      <c r="C40" s="9">
        <v>1000</v>
      </c>
      <c r="D40" s="7">
        <f t="shared" si="14"/>
        <v>3</v>
      </c>
      <c r="J40" s="8"/>
      <c r="K40" s="9"/>
      <c r="L40" s="7"/>
      <c r="R40" s="2" t="s">
        <v>43</v>
      </c>
      <c r="S40" s="13">
        <v>1000</v>
      </c>
      <c r="T40" s="11">
        <f>ROUNDDOWN(T$8/S40,0)</f>
        <v>0</v>
      </c>
      <c r="U40" s="19"/>
      <c r="V40" s="2" t="s">
        <v>43</v>
      </c>
      <c r="W40" s="13">
        <v>1000</v>
      </c>
      <c r="X40" s="11">
        <f t="shared" si="18"/>
        <v>0</v>
      </c>
    </row>
    <row r="41" spans="2:51" ht="15.75" thickBot="1" x14ac:dyDescent="0.3">
      <c r="B41" s="2" t="s">
        <v>43</v>
      </c>
      <c r="C41" s="10">
        <v>1000</v>
      </c>
      <c r="D41" s="7">
        <f t="shared" si="14"/>
        <v>3</v>
      </c>
      <c r="J41" s="8"/>
      <c r="K41" s="9"/>
      <c r="L41" s="7"/>
      <c r="V41" s="19"/>
      <c r="W41" s="19"/>
      <c r="X41" s="19"/>
    </row>
    <row r="42" spans="2:51" ht="21.75" thickBot="1" x14ac:dyDescent="0.4">
      <c r="B42" s="2"/>
      <c r="C42" s="10"/>
      <c r="D42" s="7"/>
      <c r="J42" s="2"/>
      <c r="K42" s="10"/>
      <c r="L42" s="11"/>
      <c r="V42" s="19"/>
      <c r="W42" s="19"/>
      <c r="X42" s="19"/>
      <c r="AH42" s="21"/>
      <c r="AI42" s="21"/>
      <c r="AJ42" s="21"/>
    </row>
    <row r="43" spans="2:51" x14ac:dyDescent="0.25">
      <c r="C43" s="46" t="s">
        <v>49</v>
      </c>
      <c r="D43" s="46">
        <f>COUNTA(B33:B41)*3*D26</f>
        <v>243</v>
      </c>
      <c r="G43" s="46" t="s">
        <v>49</v>
      </c>
      <c r="H43" s="46">
        <f>COUNTA(F33:F41)*3*H26</f>
        <v>108</v>
      </c>
      <c r="K43" s="46" t="s">
        <v>49</v>
      </c>
      <c r="L43" s="46">
        <f>COUNTA(J33:J41)*3*L26</f>
        <v>63</v>
      </c>
      <c r="O43" s="46" t="s">
        <v>49</v>
      </c>
      <c r="P43" s="46">
        <f>COUNTA(N33:N41)*3*P26</f>
        <v>21</v>
      </c>
      <c r="S43" s="46" t="s">
        <v>49</v>
      </c>
      <c r="T43" s="46">
        <f>COUNTA(R33:R41)*3*T26</f>
        <v>24</v>
      </c>
      <c r="W43" s="46" t="s">
        <v>49</v>
      </c>
      <c r="X43" s="46">
        <f>COUNTA(V33:V41)*3*X26</f>
        <v>0</v>
      </c>
      <c r="AA43" s="46" t="s">
        <v>49</v>
      </c>
      <c r="AB43" s="46">
        <f>COUNTA(Z33:Z41)*3*AB26</f>
        <v>0</v>
      </c>
      <c r="AE43" s="46" t="s">
        <v>49</v>
      </c>
      <c r="AF43" s="46">
        <f>COUNTA(AD33:AD41)*3*AF26</f>
        <v>315</v>
      </c>
      <c r="AI43" s="46" t="s">
        <v>49</v>
      </c>
      <c r="AJ43" s="46">
        <f>COUNTA(AH33:AH41)*3*AJ26</f>
        <v>270</v>
      </c>
      <c r="AM43" s="46" t="s">
        <v>49</v>
      </c>
      <c r="AN43" s="46">
        <f>COUNTA(AL33:AL41)*3*AN26</f>
        <v>6</v>
      </c>
      <c r="AQ43" s="46" t="s">
        <v>49</v>
      </c>
      <c r="AR43" s="46">
        <f>COUNTA(AP33:AP41)*3*AR26</f>
        <v>12</v>
      </c>
    </row>
  </sheetData>
  <mergeCells count="137">
    <mergeCell ref="Z30:AA30"/>
    <mergeCell ref="AD30:AE30"/>
    <mergeCell ref="AL30:AM30"/>
    <mergeCell ref="AD31:AE31"/>
    <mergeCell ref="AH30:AI30"/>
    <mergeCell ref="D3:F3"/>
    <mergeCell ref="AI6:AJ6"/>
    <mergeCell ref="AH7:AI7"/>
    <mergeCell ref="AH8:AI8"/>
    <mergeCell ref="AH9:AI9"/>
    <mergeCell ref="AH10:AI10"/>
    <mergeCell ref="AH11:AI11"/>
    <mergeCell ref="AH12:AI12"/>
    <mergeCell ref="AH26:AI26"/>
    <mergeCell ref="V26:W26"/>
    <mergeCell ref="Z26:AA26"/>
    <mergeCell ref="S25:T25"/>
    <mergeCell ref="W25:X25"/>
    <mergeCell ref="AA25:AB25"/>
    <mergeCell ref="AE25:AF25"/>
    <mergeCell ref="O6:P6"/>
    <mergeCell ref="S6:T6"/>
    <mergeCell ref="W6:X6"/>
    <mergeCell ref="AD7:AE7"/>
    <mergeCell ref="B30:C30"/>
    <mergeCell ref="F30:G30"/>
    <mergeCell ref="J30:K30"/>
    <mergeCell ref="N30:O30"/>
    <mergeCell ref="R30:S30"/>
    <mergeCell ref="V28:W28"/>
    <mergeCell ref="Z28:AA28"/>
    <mergeCell ref="AL28:AM28"/>
    <mergeCell ref="B29:C29"/>
    <mergeCell ref="F29:G29"/>
    <mergeCell ref="J29:K29"/>
    <mergeCell ref="N29:O29"/>
    <mergeCell ref="R29:S29"/>
    <mergeCell ref="V29:W29"/>
    <mergeCell ref="Z29:AA29"/>
    <mergeCell ref="AL29:AM29"/>
    <mergeCell ref="B28:C28"/>
    <mergeCell ref="F28:G28"/>
    <mergeCell ref="J28:K28"/>
    <mergeCell ref="N28:O28"/>
    <mergeCell ref="R28:S28"/>
    <mergeCell ref="AH28:AI28"/>
    <mergeCell ref="AH29:AI29"/>
    <mergeCell ref="V30:W30"/>
    <mergeCell ref="AL26:AM26"/>
    <mergeCell ref="B27:C27"/>
    <mergeCell ref="F27:G27"/>
    <mergeCell ref="J27:K27"/>
    <mergeCell ref="N27:O27"/>
    <mergeCell ref="R27:S27"/>
    <mergeCell ref="V27:W27"/>
    <mergeCell ref="Z27:AA27"/>
    <mergeCell ref="AL27:AM27"/>
    <mergeCell ref="B26:C26"/>
    <mergeCell ref="F26:G26"/>
    <mergeCell ref="J26:K26"/>
    <mergeCell ref="N26:O26"/>
    <mergeCell ref="R26:S26"/>
    <mergeCell ref="AH27:AI27"/>
    <mergeCell ref="AM25:AN25"/>
    <mergeCell ref="AI25:AJ25"/>
    <mergeCell ref="D2:F2"/>
    <mergeCell ref="C25:D25"/>
    <mergeCell ref="G25:H25"/>
    <mergeCell ref="K25:L25"/>
    <mergeCell ref="O25:P25"/>
    <mergeCell ref="AD28:AE28"/>
    <mergeCell ref="AD29:AE29"/>
    <mergeCell ref="AD26:AE26"/>
    <mergeCell ref="AD27:AE27"/>
    <mergeCell ref="AA6:AB6"/>
    <mergeCell ref="AE6:AF6"/>
    <mergeCell ref="AM6:AN6"/>
    <mergeCell ref="B7:C7"/>
    <mergeCell ref="F7:G7"/>
    <mergeCell ref="J7:K7"/>
    <mergeCell ref="N7:O7"/>
    <mergeCell ref="R7:S7"/>
    <mergeCell ref="V7:W7"/>
    <mergeCell ref="Z7:AA7"/>
    <mergeCell ref="C6:D6"/>
    <mergeCell ref="G6:H6"/>
    <mergeCell ref="K6:L6"/>
    <mergeCell ref="AL7:AM7"/>
    <mergeCell ref="B8:C8"/>
    <mergeCell ref="F8:G8"/>
    <mergeCell ref="J8:K8"/>
    <mergeCell ref="N8:O8"/>
    <mergeCell ref="R8:S8"/>
    <mergeCell ref="V8:W8"/>
    <mergeCell ref="Z8:AA8"/>
    <mergeCell ref="AD8:AE8"/>
    <mergeCell ref="AL8:AM8"/>
    <mergeCell ref="B9:C9"/>
    <mergeCell ref="F9:G9"/>
    <mergeCell ref="J9:K9"/>
    <mergeCell ref="N9:O9"/>
    <mergeCell ref="R9:S9"/>
    <mergeCell ref="V9:W9"/>
    <mergeCell ref="Z9:AA9"/>
    <mergeCell ref="AD9:AE9"/>
    <mergeCell ref="AL9:AM9"/>
    <mergeCell ref="AL11:AM11"/>
    <mergeCell ref="AD12:AE12"/>
    <mergeCell ref="Z10:AA10"/>
    <mergeCell ref="AD10:AE10"/>
    <mergeCell ref="AL10:AM10"/>
    <mergeCell ref="B11:C11"/>
    <mergeCell ref="F11:G11"/>
    <mergeCell ref="J11:K11"/>
    <mergeCell ref="N11:O11"/>
    <mergeCell ref="R11:S11"/>
    <mergeCell ref="B10:C10"/>
    <mergeCell ref="F10:G10"/>
    <mergeCell ref="J10:K10"/>
    <mergeCell ref="N10:O10"/>
    <mergeCell ref="R10:S10"/>
    <mergeCell ref="V11:W11"/>
    <mergeCell ref="Z11:AA11"/>
    <mergeCell ref="V10:W10"/>
    <mergeCell ref="AD11:AE11"/>
    <mergeCell ref="AP28:AQ28"/>
    <mergeCell ref="AP29:AQ29"/>
    <mergeCell ref="AP30:AQ30"/>
    <mergeCell ref="AQ6:AR6"/>
    <mergeCell ref="AP7:AQ7"/>
    <mergeCell ref="AP8:AQ8"/>
    <mergeCell ref="AP9:AQ9"/>
    <mergeCell ref="AP10:AQ10"/>
    <mergeCell ref="AP11:AQ11"/>
    <mergeCell ref="AQ25:AR25"/>
    <mergeCell ref="AP26:AQ26"/>
    <mergeCell ref="AP27:AQ27"/>
  </mergeCells>
  <conditionalFormatting sqref="AD14:AF20">
    <cfRule type="cellIs" dxfId="21" priority="9" operator="equal">
      <formula>0</formula>
    </cfRule>
  </conditionalFormatting>
  <conditionalFormatting sqref="AE33:AE39">
    <cfRule type="cellIs" dxfId="20" priority="3" operator="equal">
      <formula>0</formula>
    </cfRule>
  </conditionalFormatting>
  <conditionalFormatting sqref="AL14:AN14 F14:H16 Z14:AB17 AH14:AJ18 J14:L19 N14:P19 R14:T19 B14:C21 V14:X21 S20:T20">
    <cfRule type="cellIs" dxfId="19" priority="10" operator="equal">
      <formula>0</formula>
    </cfRule>
  </conditionalFormatting>
  <conditionalFormatting sqref="AP14:AR17">
    <cfRule type="cellIs" dxfId="18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B3647-A22B-4BC3-8412-5676C0B244CD}">
  <dimension ref="B1:X46"/>
  <sheetViews>
    <sheetView tabSelected="1" zoomScale="115" zoomScaleNormal="115" workbookViewId="0">
      <selection activeCell="D14" sqref="D14:D21"/>
    </sheetView>
  </sheetViews>
  <sheetFormatPr defaultRowHeight="15" x14ac:dyDescent="0.25"/>
  <cols>
    <col min="1" max="1" width="2.85546875" customWidth="1"/>
    <col min="2" max="2" width="35.85546875" customWidth="1"/>
    <col min="3" max="3" width="24.42578125" customWidth="1"/>
    <col min="4" max="4" width="22.85546875" customWidth="1"/>
    <col min="5" max="5" width="3.7109375" customWidth="1"/>
    <col min="6" max="6" width="34.85546875" customWidth="1"/>
    <col min="7" max="7" width="20.28515625" customWidth="1"/>
    <col min="8" max="8" width="25.42578125" customWidth="1"/>
    <col min="9" max="9" width="3.7109375" customWidth="1"/>
    <col min="10" max="10" width="44.42578125" customWidth="1"/>
    <col min="11" max="11" width="25.140625" customWidth="1"/>
    <col min="12" max="12" width="25.42578125" customWidth="1"/>
    <col min="13" max="13" width="3.7109375" customWidth="1"/>
    <col min="14" max="14" width="34.28515625" bestFit="1" customWidth="1"/>
    <col min="15" max="15" width="23.7109375" bestFit="1" customWidth="1"/>
    <col min="16" max="16" width="22.28515625" bestFit="1" customWidth="1"/>
    <col min="17" max="17" width="3.7109375" customWidth="1"/>
    <col min="18" max="18" width="30.28515625" bestFit="1" customWidth="1"/>
    <col min="19" max="19" width="24" bestFit="1" customWidth="1"/>
    <col min="20" max="20" width="22.28515625" bestFit="1" customWidth="1"/>
    <col min="21" max="21" width="3.7109375" customWidth="1"/>
    <col min="22" max="22" width="30.28515625" customWidth="1"/>
    <col min="23" max="23" width="24" customWidth="1"/>
    <col min="24" max="24" width="22.28515625" bestFit="1" customWidth="1"/>
  </cols>
  <sheetData>
    <row r="1" spans="2:24" s="23" customFormat="1" ht="21" x14ac:dyDescent="0.35">
      <c r="H1" s="50" t="s">
        <v>0</v>
      </c>
      <c r="J1" s="21" t="s">
        <v>1</v>
      </c>
    </row>
    <row r="2" spans="2:24" s="23" customFormat="1" ht="21" x14ac:dyDescent="0.35">
      <c r="B2" s="31" t="s">
        <v>2</v>
      </c>
      <c r="C2" s="30">
        <f>SUM(D10,H10,L10,P10,T10,X10)</f>
        <v>91</v>
      </c>
      <c r="D2" s="108" t="s">
        <v>3</v>
      </c>
      <c r="E2" s="108"/>
      <c r="F2" s="108"/>
      <c r="H2" s="24">
        <v>1950</v>
      </c>
      <c r="I2" s="51" t="s">
        <v>4</v>
      </c>
      <c r="J2" s="25">
        <f>C2*H4*H2</f>
        <v>8872.5</v>
      </c>
    </row>
    <row r="3" spans="2:24" s="23" customFormat="1" ht="21" x14ac:dyDescent="0.35">
      <c r="B3" s="32" t="s">
        <v>2</v>
      </c>
      <c r="C3" s="33">
        <f>SUM(D30,H30,L30,P30,X30,T30)</f>
        <v>97</v>
      </c>
      <c r="D3" s="109" t="s">
        <v>5</v>
      </c>
      <c r="E3" s="109"/>
      <c r="F3" s="109"/>
      <c r="G3" s="24"/>
      <c r="H3" s="50" t="s">
        <v>6</v>
      </c>
      <c r="J3" s="25"/>
    </row>
    <row r="4" spans="2:24" s="23" customFormat="1" ht="21" x14ac:dyDescent="0.35">
      <c r="B4" s="43" t="s">
        <v>2</v>
      </c>
      <c r="C4" s="44">
        <f>SUM(D46,H46,L46,P46,T46,X46)</f>
        <v>168</v>
      </c>
      <c r="D4" s="45" t="s">
        <v>7</v>
      </c>
      <c r="E4" s="83"/>
      <c r="F4" s="83"/>
      <c r="G4" s="24"/>
      <c r="H4" s="29">
        <v>0.05</v>
      </c>
      <c r="J4" s="25"/>
    </row>
    <row r="5" spans="2:24" ht="15.75" thickBot="1" x14ac:dyDescent="0.3"/>
    <row r="6" spans="2:24" ht="21" x14ac:dyDescent="0.35">
      <c r="B6" s="1" t="s">
        <v>95</v>
      </c>
      <c r="C6" s="118" t="s">
        <v>96</v>
      </c>
      <c r="D6" s="119"/>
      <c r="F6" s="1" t="s">
        <v>95</v>
      </c>
      <c r="G6" s="112" t="s">
        <v>97</v>
      </c>
      <c r="H6" s="113"/>
      <c r="J6" s="1" t="s">
        <v>98</v>
      </c>
      <c r="K6" s="112" t="s">
        <v>97</v>
      </c>
      <c r="L6" s="113"/>
      <c r="N6" s="1" t="s">
        <v>99</v>
      </c>
      <c r="O6" s="112" t="s">
        <v>97</v>
      </c>
      <c r="P6" s="113"/>
      <c r="R6" s="1" t="s">
        <v>116</v>
      </c>
      <c r="S6" s="118" t="s">
        <v>96</v>
      </c>
      <c r="T6" s="119"/>
      <c r="V6" s="1" t="s">
        <v>116</v>
      </c>
      <c r="W6" s="112" t="s">
        <v>97</v>
      </c>
      <c r="X6" s="113"/>
    </row>
    <row r="7" spans="2:24" x14ac:dyDescent="0.25">
      <c r="B7" s="100" t="s">
        <v>17</v>
      </c>
      <c r="C7" s="101"/>
      <c r="D7" s="39">
        <v>1</v>
      </c>
      <c r="F7" s="100" t="s">
        <v>18</v>
      </c>
      <c r="G7" s="101"/>
      <c r="H7" s="62">
        <v>1</v>
      </c>
      <c r="J7" s="100" t="s">
        <v>18</v>
      </c>
      <c r="K7" s="101"/>
      <c r="L7" s="39">
        <v>1</v>
      </c>
      <c r="N7" s="100" t="s">
        <v>18</v>
      </c>
      <c r="O7" s="101"/>
      <c r="P7" s="62">
        <v>1</v>
      </c>
      <c r="R7" s="100" t="s">
        <v>17</v>
      </c>
      <c r="S7" s="101"/>
      <c r="T7" s="39">
        <v>1</v>
      </c>
      <c r="V7" s="100" t="s">
        <v>17</v>
      </c>
      <c r="W7" s="101"/>
      <c r="X7" s="39">
        <v>1</v>
      </c>
    </row>
    <row r="8" spans="2:24" x14ac:dyDescent="0.25">
      <c r="B8" s="104" t="s">
        <v>19</v>
      </c>
      <c r="C8" s="105"/>
      <c r="D8" s="41">
        <v>1600</v>
      </c>
      <c r="F8" s="104" t="s">
        <v>19</v>
      </c>
      <c r="G8" s="105"/>
      <c r="H8" s="63">
        <v>1200</v>
      </c>
      <c r="J8" s="104" t="s">
        <v>19</v>
      </c>
      <c r="K8" s="105"/>
      <c r="L8" s="41">
        <v>1000</v>
      </c>
      <c r="N8" s="104" t="s">
        <v>19</v>
      </c>
      <c r="O8" s="105"/>
      <c r="P8" s="63">
        <v>1000</v>
      </c>
      <c r="R8" s="104" t="s">
        <v>19</v>
      </c>
      <c r="S8" s="105"/>
      <c r="T8" s="41">
        <v>1600</v>
      </c>
      <c r="V8" s="104" t="s">
        <v>19</v>
      </c>
      <c r="W8" s="105"/>
      <c r="X8" s="41">
        <v>1200</v>
      </c>
    </row>
    <row r="9" spans="2:24" x14ac:dyDescent="0.25">
      <c r="B9" s="104" t="s">
        <v>20</v>
      </c>
      <c r="C9" s="105"/>
      <c r="D9" s="41">
        <v>12</v>
      </c>
      <c r="F9" s="104" t="s">
        <v>20</v>
      </c>
      <c r="G9" s="105"/>
      <c r="H9" s="63">
        <v>3</v>
      </c>
      <c r="J9" s="104" t="s">
        <v>20</v>
      </c>
      <c r="K9" s="105"/>
      <c r="L9" s="41">
        <v>7</v>
      </c>
      <c r="N9" s="104" t="s">
        <v>20</v>
      </c>
      <c r="O9" s="105"/>
      <c r="P9" s="63">
        <v>6</v>
      </c>
      <c r="R9" s="104" t="s">
        <v>20</v>
      </c>
      <c r="S9" s="105"/>
      <c r="T9" s="41">
        <v>9</v>
      </c>
      <c r="V9" s="104" t="s">
        <v>20</v>
      </c>
      <c r="W9" s="105"/>
      <c r="X9" s="41">
        <v>9</v>
      </c>
    </row>
    <row r="10" spans="2:24" x14ac:dyDescent="0.25">
      <c r="B10" s="110" t="s">
        <v>21</v>
      </c>
      <c r="C10" s="111"/>
      <c r="D10" s="37">
        <f>SUM(D14:D23)*D7</f>
        <v>15</v>
      </c>
      <c r="F10" s="110" t="s">
        <v>21</v>
      </c>
      <c r="G10" s="111"/>
      <c r="H10" s="37">
        <f>SUM(H14:H23)*H7</f>
        <v>17</v>
      </c>
      <c r="J10" s="110" t="s">
        <v>21</v>
      </c>
      <c r="K10" s="111"/>
      <c r="L10" s="37">
        <f>SUM(L14:L23)*L7</f>
        <v>11</v>
      </c>
      <c r="N10" s="110" t="s">
        <v>21</v>
      </c>
      <c r="O10" s="111"/>
      <c r="P10" s="37">
        <f>SUM(P14:P23)*P7</f>
        <v>15</v>
      </c>
      <c r="R10" s="110" t="s">
        <v>21</v>
      </c>
      <c r="S10" s="111"/>
      <c r="T10" s="37">
        <f>SUM(T14:T24)*T7</f>
        <v>16</v>
      </c>
      <c r="V10" s="110" t="s">
        <v>21</v>
      </c>
      <c r="W10" s="111"/>
      <c r="X10" s="37">
        <f>SUM(X14:X23)*X7</f>
        <v>17</v>
      </c>
    </row>
    <row r="11" spans="2:24" x14ac:dyDescent="0.25">
      <c r="B11" s="110" t="s">
        <v>22</v>
      </c>
      <c r="C11" s="111"/>
      <c r="D11" s="38">
        <f>D10/D9</f>
        <v>1.25</v>
      </c>
      <c r="F11" s="110" t="s">
        <v>22</v>
      </c>
      <c r="G11" s="111"/>
      <c r="H11" s="38">
        <f>H10/H9</f>
        <v>5.666666666666667</v>
      </c>
      <c r="J11" s="110" t="s">
        <v>22</v>
      </c>
      <c r="K11" s="111"/>
      <c r="L11" s="38">
        <f>L10/L9</f>
        <v>1.5714285714285714</v>
      </c>
      <c r="N11" s="110" t="s">
        <v>22</v>
      </c>
      <c r="O11" s="111"/>
      <c r="P11" s="38">
        <f>P10/P9</f>
        <v>2.5</v>
      </c>
      <c r="R11" s="110" t="s">
        <v>22</v>
      </c>
      <c r="S11" s="111"/>
      <c r="T11" s="38">
        <f>T10/T9</f>
        <v>1.7777777777777777</v>
      </c>
      <c r="V11" s="110" t="s">
        <v>22</v>
      </c>
      <c r="W11" s="111"/>
      <c r="X11" s="38">
        <f>X10/X9</f>
        <v>1.8888888888888888</v>
      </c>
    </row>
    <row r="12" spans="2:24" x14ac:dyDescent="0.25">
      <c r="B12" s="15"/>
      <c r="C12" s="16"/>
      <c r="D12" s="17"/>
      <c r="F12" s="15"/>
      <c r="G12" s="16"/>
      <c r="H12" s="17"/>
      <c r="J12" s="15"/>
      <c r="K12" s="16"/>
      <c r="L12" s="17"/>
      <c r="N12" s="15"/>
      <c r="O12" s="16"/>
      <c r="P12" s="17"/>
      <c r="R12" s="15"/>
      <c r="S12" s="16"/>
      <c r="T12" s="17"/>
      <c r="V12" s="15"/>
      <c r="W12" s="16"/>
      <c r="X12" s="17"/>
    </row>
    <row r="13" spans="2:24" ht="15.75" thickBot="1" x14ac:dyDescent="0.3">
      <c r="B13" s="2" t="s">
        <v>24</v>
      </c>
      <c r="C13" s="3" t="s">
        <v>25</v>
      </c>
      <c r="D13" s="4" t="s">
        <v>26</v>
      </c>
      <c r="F13" s="2" t="s">
        <v>24</v>
      </c>
      <c r="G13" s="3" t="s">
        <v>25</v>
      </c>
      <c r="H13" s="4" t="s">
        <v>26</v>
      </c>
      <c r="J13" s="2" t="s">
        <v>24</v>
      </c>
      <c r="K13" s="3" t="s">
        <v>25</v>
      </c>
      <c r="L13" s="4" t="s">
        <v>26</v>
      </c>
      <c r="N13" s="2" t="s">
        <v>24</v>
      </c>
      <c r="O13" s="3" t="s">
        <v>25</v>
      </c>
      <c r="P13" s="4" t="s">
        <v>26</v>
      </c>
      <c r="R13" s="2" t="s">
        <v>24</v>
      </c>
      <c r="S13" s="3" t="s">
        <v>25</v>
      </c>
      <c r="T13" s="4" t="s">
        <v>26</v>
      </c>
      <c r="V13" s="2" t="s">
        <v>24</v>
      </c>
      <c r="W13" s="3" t="s">
        <v>25</v>
      </c>
      <c r="X13" s="4" t="s">
        <v>26</v>
      </c>
    </row>
    <row r="14" spans="2:24" x14ac:dyDescent="0.25">
      <c r="B14" s="5" t="s">
        <v>28</v>
      </c>
      <c r="C14" s="6">
        <v>350</v>
      </c>
      <c r="D14" s="7">
        <f>ROUNDDOWN(D$8/C14,0)</f>
        <v>4</v>
      </c>
      <c r="F14" s="5" t="s">
        <v>28</v>
      </c>
      <c r="G14" s="6">
        <v>300</v>
      </c>
      <c r="H14" s="7">
        <f>ROUNDDOWN(H$8/G14,0)</f>
        <v>4</v>
      </c>
      <c r="J14" s="5" t="s">
        <v>28</v>
      </c>
      <c r="K14" s="6">
        <v>250</v>
      </c>
      <c r="L14" s="7">
        <f>ROUNDDOWN(L$8/K14,0)</f>
        <v>4</v>
      </c>
      <c r="N14" s="5" t="s">
        <v>28</v>
      </c>
      <c r="O14" s="13">
        <v>250</v>
      </c>
      <c r="P14" s="7">
        <f>ROUNDDOWN(P$8/O14,0)</f>
        <v>4</v>
      </c>
      <c r="R14" s="5" t="s">
        <v>28</v>
      </c>
      <c r="S14" s="6">
        <v>350</v>
      </c>
      <c r="T14" s="7">
        <f>ROUNDDOWN(T$8/S14,0)</f>
        <v>4</v>
      </c>
      <c r="V14" s="5" t="s">
        <v>28</v>
      </c>
      <c r="W14" s="6">
        <v>300</v>
      </c>
      <c r="X14" s="7">
        <f>ROUNDDOWN(X$8/W14,0)</f>
        <v>4</v>
      </c>
    </row>
    <row r="15" spans="2:24" x14ac:dyDescent="0.25">
      <c r="B15" s="8" t="s">
        <v>108</v>
      </c>
      <c r="C15" s="9">
        <v>650</v>
      </c>
      <c r="D15" s="7">
        <f t="shared" ref="D15:D23" si="0">ROUNDDOWN(D$8/C15,0)</f>
        <v>2</v>
      </c>
      <c r="F15" s="8" t="s">
        <v>108</v>
      </c>
      <c r="G15" s="9">
        <v>600</v>
      </c>
      <c r="H15" s="7">
        <f t="shared" ref="H15:H21" si="1">ROUNDDOWN(H$8/G15,0)</f>
        <v>2</v>
      </c>
      <c r="J15" s="8" t="s">
        <v>100</v>
      </c>
      <c r="K15" s="9">
        <v>500</v>
      </c>
      <c r="L15" s="7">
        <f t="shared" ref="L15" si="2">ROUNDDOWN(L$8/K15,0)</f>
        <v>2</v>
      </c>
      <c r="N15" s="8" t="s">
        <v>30</v>
      </c>
      <c r="O15" s="13">
        <v>500</v>
      </c>
      <c r="P15" s="7">
        <f>ROUNDDOWN(P$8/O15,0)</f>
        <v>2</v>
      </c>
      <c r="R15" s="8" t="s">
        <v>108</v>
      </c>
      <c r="S15" s="9">
        <v>650</v>
      </c>
      <c r="T15" s="7">
        <f t="shared" ref="T15:T24" si="3">ROUNDDOWN(T$8/S15,0)</f>
        <v>2</v>
      </c>
      <c r="V15" s="8" t="s">
        <v>108</v>
      </c>
      <c r="W15" s="9">
        <v>600</v>
      </c>
      <c r="X15" s="7">
        <f t="shared" ref="X15:X21" si="4">ROUNDDOWN(X$8/W15,0)</f>
        <v>2</v>
      </c>
    </row>
    <row r="16" spans="2:24" x14ac:dyDescent="0.25">
      <c r="B16" s="8" t="s">
        <v>68</v>
      </c>
      <c r="C16" s="9">
        <v>1250</v>
      </c>
      <c r="D16" s="7">
        <f t="shared" si="0"/>
        <v>1</v>
      </c>
      <c r="F16" s="8" t="s">
        <v>68</v>
      </c>
      <c r="G16" s="9">
        <v>600</v>
      </c>
      <c r="H16" s="7">
        <f t="shared" si="1"/>
        <v>2</v>
      </c>
      <c r="J16" s="8" t="s">
        <v>101</v>
      </c>
      <c r="K16" s="9">
        <v>500</v>
      </c>
      <c r="L16" s="7">
        <f t="shared" ref="L16:L18" si="5">ROUNDDOWN(L$8/K16,0)</f>
        <v>2</v>
      </c>
      <c r="N16" s="8" t="s">
        <v>68</v>
      </c>
      <c r="O16" s="13">
        <v>750</v>
      </c>
      <c r="P16" s="7">
        <f t="shared" ref="P16:P20" si="6">ROUNDDOWN(P$8/O16,0)</f>
        <v>1</v>
      </c>
      <c r="R16" s="8" t="s">
        <v>68</v>
      </c>
      <c r="S16" s="9">
        <v>1250</v>
      </c>
      <c r="T16" s="7">
        <f t="shared" si="3"/>
        <v>1</v>
      </c>
      <c r="V16" s="8" t="s">
        <v>68</v>
      </c>
      <c r="W16" s="9">
        <v>600</v>
      </c>
      <c r="X16" s="7">
        <f t="shared" si="4"/>
        <v>2</v>
      </c>
    </row>
    <row r="17" spans="2:24" x14ac:dyDescent="0.25">
      <c r="B17" s="8" t="s">
        <v>103</v>
      </c>
      <c r="C17" s="9">
        <v>1250</v>
      </c>
      <c r="D17" s="7">
        <f t="shared" si="0"/>
        <v>1</v>
      </c>
      <c r="F17" s="8" t="s">
        <v>103</v>
      </c>
      <c r="G17" s="9">
        <v>600</v>
      </c>
      <c r="H17" s="7">
        <f t="shared" si="1"/>
        <v>2</v>
      </c>
      <c r="J17" s="8" t="s">
        <v>102</v>
      </c>
      <c r="K17" s="9">
        <v>500</v>
      </c>
      <c r="L17" s="7">
        <f t="shared" si="5"/>
        <v>2</v>
      </c>
      <c r="N17" s="8" t="s">
        <v>103</v>
      </c>
      <c r="O17" s="13">
        <v>750</v>
      </c>
      <c r="P17" s="7">
        <f t="shared" si="6"/>
        <v>1</v>
      </c>
      <c r="R17" s="8" t="s">
        <v>103</v>
      </c>
      <c r="S17" s="9">
        <v>1250</v>
      </c>
      <c r="T17" s="7">
        <f t="shared" si="3"/>
        <v>1</v>
      </c>
      <c r="V17" s="8" t="s">
        <v>103</v>
      </c>
      <c r="W17" s="9">
        <v>600</v>
      </c>
      <c r="X17" s="7">
        <f t="shared" si="4"/>
        <v>2</v>
      </c>
    </row>
    <row r="18" spans="2:24" x14ac:dyDescent="0.25">
      <c r="B18" s="8" t="s">
        <v>110</v>
      </c>
      <c r="C18" s="9">
        <v>1250</v>
      </c>
      <c r="D18" s="7">
        <f t="shared" si="0"/>
        <v>1</v>
      </c>
      <c r="F18" s="8" t="s">
        <v>118</v>
      </c>
      <c r="G18" s="9">
        <v>600</v>
      </c>
      <c r="H18" s="7">
        <f t="shared" si="1"/>
        <v>2</v>
      </c>
      <c r="J18" s="8" t="s">
        <v>39</v>
      </c>
      <c r="K18" s="9">
        <v>1000</v>
      </c>
      <c r="L18" s="7">
        <f t="shared" si="5"/>
        <v>1</v>
      </c>
      <c r="N18" s="8" t="s">
        <v>31</v>
      </c>
      <c r="O18" s="13">
        <v>500</v>
      </c>
      <c r="P18" s="7">
        <f t="shared" si="6"/>
        <v>2</v>
      </c>
      <c r="R18" s="8" t="s">
        <v>110</v>
      </c>
      <c r="S18" s="9">
        <v>1250</v>
      </c>
      <c r="T18" s="7">
        <f t="shared" si="3"/>
        <v>1</v>
      </c>
      <c r="V18" s="8" t="s">
        <v>118</v>
      </c>
      <c r="W18" s="9">
        <v>600</v>
      </c>
      <c r="X18" s="7">
        <f t="shared" si="4"/>
        <v>2</v>
      </c>
    </row>
    <row r="19" spans="2:24" x14ac:dyDescent="0.25">
      <c r="B19" s="8" t="s">
        <v>111</v>
      </c>
      <c r="C19" s="9">
        <v>1250</v>
      </c>
      <c r="D19" s="7">
        <f t="shared" si="0"/>
        <v>1</v>
      </c>
      <c r="F19" s="8" t="s">
        <v>31</v>
      </c>
      <c r="G19" s="9">
        <v>600</v>
      </c>
      <c r="H19" s="7">
        <f t="shared" si="1"/>
        <v>2</v>
      </c>
      <c r="J19" s="8"/>
      <c r="K19" s="9"/>
      <c r="L19" s="7"/>
      <c r="N19" s="8" t="s">
        <v>104</v>
      </c>
      <c r="O19" s="13">
        <v>750</v>
      </c>
      <c r="P19" s="7">
        <f t="shared" si="6"/>
        <v>1</v>
      </c>
      <c r="R19" s="8" t="s">
        <v>111</v>
      </c>
      <c r="S19" s="9">
        <v>1250</v>
      </c>
      <c r="T19" s="7">
        <f t="shared" si="3"/>
        <v>1</v>
      </c>
      <c r="V19" s="8" t="s">
        <v>31</v>
      </c>
      <c r="W19" s="9">
        <v>600</v>
      </c>
      <c r="X19" s="7">
        <f t="shared" si="4"/>
        <v>2</v>
      </c>
    </row>
    <row r="20" spans="2:24" ht="15.75" thickBot="1" x14ac:dyDescent="0.3">
      <c r="B20" s="8" t="s">
        <v>112</v>
      </c>
      <c r="C20" s="9">
        <v>1250</v>
      </c>
      <c r="D20" s="7">
        <f t="shared" si="0"/>
        <v>1</v>
      </c>
      <c r="F20" s="2" t="s">
        <v>109</v>
      </c>
      <c r="G20" s="10">
        <v>600</v>
      </c>
      <c r="H20" s="7">
        <f t="shared" si="1"/>
        <v>2</v>
      </c>
      <c r="J20" s="8"/>
      <c r="K20" s="9"/>
      <c r="L20" s="7"/>
      <c r="N20" s="8" t="s">
        <v>105</v>
      </c>
      <c r="O20" s="13">
        <v>750</v>
      </c>
      <c r="P20" s="7">
        <f t="shared" si="6"/>
        <v>1</v>
      </c>
      <c r="R20" s="8" t="s">
        <v>112</v>
      </c>
      <c r="S20" s="9">
        <v>1250</v>
      </c>
      <c r="T20" s="7">
        <f t="shared" si="3"/>
        <v>1</v>
      </c>
      <c r="V20" s="8" t="s">
        <v>109</v>
      </c>
      <c r="W20" s="9">
        <v>600</v>
      </c>
      <c r="X20" s="7">
        <f t="shared" si="4"/>
        <v>2</v>
      </c>
    </row>
    <row r="21" spans="2:24" x14ac:dyDescent="0.25">
      <c r="B21" s="8" t="s">
        <v>113</v>
      </c>
      <c r="C21" s="9">
        <v>1250</v>
      </c>
      <c r="D21" s="7">
        <f t="shared" si="0"/>
        <v>1</v>
      </c>
      <c r="F21" s="92" t="s">
        <v>115</v>
      </c>
      <c r="G21" s="93">
        <v>1200</v>
      </c>
      <c r="H21" s="7">
        <f t="shared" si="1"/>
        <v>1</v>
      </c>
      <c r="J21" s="8"/>
      <c r="K21" s="9"/>
      <c r="L21" s="7"/>
      <c r="N21" s="8" t="s">
        <v>106</v>
      </c>
      <c r="O21" s="13">
        <v>750</v>
      </c>
      <c r="P21" s="7">
        <f t="shared" ref="P21:P22" si="7">ROUNDDOWN(P$8/O21,0)</f>
        <v>1</v>
      </c>
      <c r="R21" s="8" t="s">
        <v>113</v>
      </c>
      <c r="S21" s="9">
        <v>1250</v>
      </c>
      <c r="T21" s="7">
        <f t="shared" si="3"/>
        <v>1</v>
      </c>
      <c r="V21" s="8" t="s">
        <v>115</v>
      </c>
      <c r="W21" s="9">
        <v>1200</v>
      </c>
      <c r="X21" s="7">
        <f t="shared" si="4"/>
        <v>1</v>
      </c>
    </row>
    <row r="22" spans="2:24" x14ac:dyDescent="0.25">
      <c r="B22" s="8" t="s">
        <v>114</v>
      </c>
      <c r="C22" s="9">
        <v>650</v>
      </c>
      <c r="D22" s="7">
        <f t="shared" si="0"/>
        <v>2</v>
      </c>
      <c r="J22" s="8"/>
      <c r="K22" s="9"/>
      <c r="L22" s="7"/>
      <c r="N22" s="8" t="s">
        <v>107</v>
      </c>
      <c r="O22" s="13">
        <v>750</v>
      </c>
      <c r="P22" s="7">
        <f t="shared" si="7"/>
        <v>1</v>
      </c>
      <c r="R22" s="8" t="s">
        <v>114</v>
      </c>
      <c r="S22" s="9">
        <v>650</v>
      </c>
      <c r="T22" s="7">
        <f t="shared" si="3"/>
        <v>2</v>
      </c>
      <c r="V22" s="8"/>
      <c r="W22" s="9"/>
      <c r="X22" s="7"/>
    </row>
    <row r="23" spans="2:24" ht="15.75" thickBot="1" x14ac:dyDescent="0.3">
      <c r="B23" s="8" t="s">
        <v>115</v>
      </c>
      <c r="C23" s="10">
        <v>1250</v>
      </c>
      <c r="D23" s="11">
        <f t="shared" si="0"/>
        <v>1</v>
      </c>
      <c r="J23" s="2"/>
      <c r="K23" s="10"/>
      <c r="L23" s="11"/>
      <c r="N23" s="8" t="s">
        <v>39</v>
      </c>
      <c r="O23" s="13">
        <v>1000</v>
      </c>
      <c r="P23" s="7">
        <f t="shared" ref="P23" si="8">ROUNDDOWN(P$8/O23,0)</f>
        <v>1</v>
      </c>
      <c r="R23" s="8" t="s">
        <v>115</v>
      </c>
      <c r="S23" s="10">
        <v>1250</v>
      </c>
      <c r="T23" s="11">
        <f t="shared" si="3"/>
        <v>1</v>
      </c>
      <c r="V23" s="8"/>
      <c r="W23" s="10"/>
      <c r="X23" s="11"/>
    </row>
    <row r="24" spans="2:24" x14ac:dyDescent="0.25">
      <c r="B24" s="86"/>
      <c r="C24" s="87"/>
      <c r="D24" s="87"/>
      <c r="J24" s="86"/>
      <c r="K24" s="87"/>
      <c r="L24" s="87"/>
      <c r="N24" s="86"/>
      <c r="O24" s="88"/>
      <c r="P24" s="87"/>
      <c r="R24" s="92" t="s">
        <v>117</v>
      </c>
      <c r="S24" s="87">
        <v>1250</v>
      </c>
      <c r="T24" s="87">
        <f t="shared" si="3"/>
        <v>1</v>
      </c>
      <c r="V24" s="86"/>
      <c r="W24" s="87"/>
      <c r="X24" s="87"/>
    </row>
    <row r="25" spans="2:24" ht="15.75" thickBot="1" x14ac:dyDescent="0.3">
      <c r="C25" s="19"/>
      <c r="D25" s="19"/>
      <c r="S25" s="19"/>
      <c r="T25" s="19"/>
      <c r="W25" s="19"/>
      <c r="X25" s="19"/>
    </row>
    <row r="26" spans="2:24" ht="21" x14ac:dyDescent="0.35">
      <c r="B26" s="1" t="s">
        <v>95</v>
      </c>
      <c r="C26" s="118" t="s">
        <v>96</v>
      </c>
      <c r="D26" s="119"/>
      <c r="F26" s="1" t="str">
        <f>F6</f>
        <v>FORWARDER</v>
      </c>
      <c r="G26" s="112" t="s">
        <v>97</v>
      </c>
      <c r="H26" s="113"/>
      <c r="J26" s="1" t="s">
        <v>98</v>
      </c>
      <c r="K26" s="112" t="s">
        <v>97</v>
      </c>
      <c r="L26" s="113"/>
      <c r="N26" s="1" t="s">
        <v>99</v>
      </c>
      <c r="O26" s="112" t="s">
        <v>97</v>
      </c>
      <c r="P26" s="113"/>
      <c r="R26" s="1" t="s">
        <v>116</v>
      </c>
      <c r="S26" s="118" t="s">
        <v>96</v>
      </c>
      <c r="T26" s="119"/>
      <c r="V26" s="1" t="s">
        <v>116</v>
      </c>
      <c r="W26" s="112" t="s">
        <v>97</v>
      </c>
      <c r="X26" s="113"/>
    </row>
    <row r="27" spans="2:24" x14ac:dyDescent="0.25">
      <c r="B27" s="100" t="s">
        <v>17</v>
      </c>
      <c r="C27" s="101"/>
      <c r="D27" s="47">
        <f>D7</f>
        <v>1</v>
      </c>
      <c r="F27" s="100" t="s">
        <v>18</v>
      </c>
      <c r="G27" s="101"/>
      <c r="H27" s="47">
        <f>H7</f>
        <v>1</v>
      </c>
      <c r="J27" s="100" t="s">
        <v>18</v>
      </c>
      <c r="K27" s="101"/>
      <c r="L27" s="85">
        <f>L7</f>
        <v>1</v>
      </c>
      <c r="N27" s="100" t="s">
        <v>18</v>
      </c>
      <c r="O27" s="101"/>
      <c r="P27" s="47">
        <v>1</v>
      </c>
      <c r="R27" s="100" t="s">
        <v>17</v>
      </c>
      <c r="S27" s="101"/>
      <c r="T27" s="47">
        <f>T7</f>
        <v>1</v>
      </c>
      <c r="V27" s="100" t="s">
        <v>17</v>
      </c>
      <c r="W27" s="101"/>
      <c r="X27" s="47">
        <f>X7</f>
        <v>1</v>
      </c>
    </row>
    <row r="28" spans="2:24" x14ac:dyDescent="0.25">
      <c r="B28" s="104" t="s">
        <v>19</v>
      </c>
      <c r="C28" s="105"/>
      <c r="D28" s="47">
        <f>D8</f>
        <v>1600</v>
      </c>
      <c r="F28" s="104" t="s">
        <v>19</v>
      </c>
      <c r="G28" s="105"/>
      <c r="H28" s="47">
        <f>H8</f>
        <v>1200</v>
      </c>
      <c r="J28" s="104" t="s">
        <v>19</v>
      </c>
      <c r="K28" s="105"/>
      <c r="L28" s="85">
        <f>L8</f>
        <v>1000</v>
      </c>
      <c r="N28" s="104" t="s">
        <v>19</v>
      </c>
      <c r="O28" s="105"/>
      <c r="P28" s="47">
        <f>P8</f>
        <v>1000</v>
      </c>
      <c r="R28" s="104" t="s">
        <v>19</v>
      </c>
      <c r="S28" s="105"/>
      <c r="T28" s="47">
        <f>T8</f>
        <v>1600</v>
      </c>
      <c r="V28" s="104" t="s">
        <v>19</v>
      </c>
      <c r="W28" s="105"/>
      <c r="X28" s="47">
        <f>X8</f>
        <v>1200</v>
      </c>
    </row>
    <row r="29" spans="2:24" x14ac:dyDescent="0.25">
      <c r="B29" s="104" t="s">
        <v>20</v>
      </c>
      <c r="C29" s="105"/>
      <c r="D29" s="47">
        <f>D9</f>
        <v>12</v>
      </c>
      <c r="F29" s="104" t="s">
        <v>20</v>
      </c>
      <c r="G29" s="105"/>
      <c r="H29" s="47">
        <f>H9</f>
        <v>3</v>
      </c>
      <c r="J29" s="104" t="s">
        <v>20</v>
      </c>
      <c r="K29" s="105"/>
      <c r="L29" s="85">
        <f>L9</f>
        <v>7</v>
      </c>
      <c r="N29" s="104" t="s">
        <v>20</v>
      </c>
      <c r="O29" s="105"/>
      <c r="P29" s="47">
        <f>P9</f>
        <v>6</v>
      </c>
      <c r="R29" s="104" t="s">
        <v>20</v>
      </c>
      <c r="S29" s="105"/>
      <c r="T29" s="47">
        <f>T9</f>
        <v>9</v>
      </c>
      <c r="V29" s="104" t="s">
        <v>20</v>
      </c>
      <c r="W29" s="105"/>
      <c r="X29" s="47">
        <f>X9</f>
        <v>9</v>
      </c>
    </row>
    <row r="30" spans="2:24" x14ac:dyDescent="0.25">
      <c r="B30" s="110" t="s">
        <v>21</v>
      </c>
      <c r="C30" s="111"/>
      <c r="D30" s="37">
        <f>SUM(D34:D44)*D27</f>
        <v>16</v>
      </c>
      <c r="F30" s="110" t="s">
        <v>21</v>
      </c>
      <c r="G30" s="111"/>
      <c r="H30" s="37">
        <f>SUM(H34:H44)*H27</f>
        <v>18</v>
      </c>
      <c r="J30" s="110" t="s">
        <v>21</v>
      </c>
      <c r="K30" s="111"/>
      <c r="L30" s="37">
        <f>SUM(L34:L44)*L27</f>
        <v>12</v>
      </c>
      <c r="N30" s="110" t="s">
        <v>21</v>
      </c>
      <c r="O30" s="111"/>
      <c r="P30" s="37">
        <f>SUM(P34:P44)*P27</f>
        <v>16</v>
      </c>
      <c r="R30" s="110" t="s">
        <v>21</v>
      </c>
      <c r="S30" s="111"/>
      <c r="T30" s="37">
        <f>SUM(T34:T45)*T27</f>
        <v>17</v>
      </c>
      <c r="V30" s="110" t="s">
        <v>21</v>
      </c>
      <c r="W30" s="111"/>
      <c r="X30" s="37">
        <f>SUM(X34:X44)*X27</f>
        <v>18</v>
      </c>
    </row>
    <row r="31" spans="2:24" x14ac:dyDescent="0.25">
      <c r="B31" s="110" t="s">
        <v>22</v>
      </c>
      <c r="C31" s="111"/>
      <c r="D31" s="38">
        <f>D30/D29</f>
        <v>1.3333333333333333</v>
      </c>
      <c r="F31" s="110" t="s">
        <v>22</v>
      </c>
      <c r="G31" s="111"/>
      <c r="H31" s="38">
        <f>H30/H29</f>
        <v>6</v>
      </c>
      <c r="J31" s="110" t="s">
        <v>22</v>
      </c>
      <c r="K31" s="111"/>
      <c r="L31" s="38">
        <f>L30/L29</f>
        <v>1.7142857142857142</v>
      </c>
      <c r="N31" s="110" t="s">
        <v>22</v>
      </c>
      <c r="O31" s="111"/>
      <c r="P31" s="38">
        <f>P30/P29</f>
        <v>2.6666666666666665</v>
      </c>
      <c r="R31" s="110" t="s">
        <v>22</v>
      </c>
      <c r="S31" s="111"/>
      <c r="T31" s="38">
        <f>T30/T29</f>
        <v>1.8888888888888888</v>
      </c>
      <c r="V31" s="110" t="s">
        <v>22</v>
      </c>
      <c r="W31" s="111"/>
      <c r="X31" s="38">
        <f>X30/X29</f>
        <v>2</v>
      </c>
    </row>
    <row r="32" spans="2:24" x14ac:dyDescent="0.25">
      <c r="B32" s="15"/>
      <c r="C32" s="16"/>
      <c r="D32" s="17"/>
      <c r="F32" s="15"/>
      <c r="G32" s="16"/>
      <c r="H32" s="17"/>
      <c r="J32" s="15"/>
      <c r="K32" s="16"/>
      <c r="L32" s="17"/>
      <c r="N32" s="15"/>
      <c r="O32" s="16"/>
      <c r="P32" s="17"/>
      <c r="R32" s="15"/>
      <c r="S32" s="16"/>
      <c r="T32" s="17"/>
      <c r="V32" s="15"/>
      <c r="W32" s="16"/>
      <c r="X32" s="17"/>
    </row>
    <row r="33" spans="2:24" ht="15.75" thickBot="1" x14ac:dyDescent="0.3">
      <c r="B33" s="2" t="s">
        <v>24</v>
      </c>
      <c r="C33" s="3" t="s">
        <v>25</v>
      </c>
      <c r="D33" s="4" t="s">
        <v>26</v>
      </c>
      <c r="F33" s="2" t="s">
        <v>24</v>
      </c>
      <c r="G33" s="3" t="s">
        <v>25</v>
      </c>
      <c r="H33" s="4" t="s">
        <v>26</v>
      </c>
      <c r="J33" s="2" t="s">
        <v>24</v>
      </c>
      <c r="K33" s="3" t="s">
        <v>25</v>
      </c>
      <c r="L33" s="4" t="s">
        <v>26</v>
      </c>
      <c r="N33" s="2" t="s">
        <v>24</v>
      </c>
      <c r="O33" s="3" t="s">
        <v>25</v>
      </c>
      <c r="P33" s="4" t="s">
        <v>26</v>
      </c>
      <c r="R33" s="2" t="s">
        <v>24</v>
      </c>
      <c r="S33" s="3" t="s">
        <v>25</v>
      </c>
      <c r="T33" s="4" t="s">
        <v>26</v>
      </c>
      <c r="V33" s="2" t="s">
        <v>24</v>
      </c>
      <c r="W33" s="3" t="s">
        <v>25</v>
      </c>
      <c r="X33" s="4" t="s">
        <v>26</v>
      </c>
    </row>
    <row r="34" spans="2:24" x14ac:dyDescent="0.25">
      <c r="B34" s="5" t="s">
        <v>28</v>
      </c>
      <c r="C34" s="6">
        <v>350</v>
      </c>
      <c r="D34" s="7">
        <f>ROUNDDOWN(D$8/C34,0)</f>
        <v>4</v>
      </c>
      <c r="F34" s="5" t="s">
        <v>28</v>
      </c>
      <c r="G34" s="6">
        <v>300</v>
      </c>
      <c r="H34" s="7">
        <f>ROUNDDOWN(H$8/G34,0)</f>
        <v>4</v>
      </c>
      <c r="J34" s="5" t="s">
        <v>28</v>
      </c>
      <c r="K34" s="6">
        <v>250</v>
      </c>
      <c r="L34" s="7">
        <f>ROUNDDOWN(L$8/K34,0)</f>
        <v>4</v>
      </c>
      <c r="N34" s="5" t="s">
        <v>28</v>
      </c>
      <c r="O34" s="13">
        <v>250</v>
      </c>
      <c r="P34" s="7">
        <f>ROUNDDOWN(P$8/O34,0)</f>
        <v>4</v>
      </c>
      <c r="R34" s="5" t="s">
        <v>28</v>
      </c>
      <c r="S34" s="6">
        <v>350</v>
      </c>
      <c r="T34" s="7">
        <f>ROUNDDOWN(T$8/S34,0)</f>
        <v>4</v>
      </c>
      <c r="V34" s="5" t="s">
        <v>28</v>
      </c>
      <c r="W34" s="6">
        <v>300</v>
      </c>
      <c r="X34" s="7">
        <f>ROUNDDOWN(X$8/W34,0)</f>
        <v>4</v>
      </c>
    </row>
    <row r="35" spans="2:24" x14ac:dyDescent="0.25">
      <c r="B35" s="8" t="s">
        <v>108</v>
      </c>
      <c r="C35" s="9">
        <v>650</v>
      </c>
      <c r="D35" s="7">
        <f t="shared" ref="D35:D44" si="9">ROUNDDOWN(D$8/C35,0)</f>
        <v>2</v>
      </c>
      <c r="F35" s="8" t="s">
        <v>108</v>
      </c>
      <c r="G35" s="9">
        <v>600</v>
      </c>
      <c r="H35" s="7">
        <f t="shared" ref="H35:H42" si="10">ROUNDDOWN(H$8/G35,0)</f>
        <v>2</v>
      </c>
      <c r="J35" s="8" t="s">
        <v>100</v>
      </c>
      <c r="K35" s="9">
        <v>500</v>
      </c>
      <c r="L35" s="7">
        <f t="shared" ref="L35:L39" si="11">ROUNDDOWN(L$8/K35,0)</f>
        <v>2</v>
      </c>
      <c r="N35" s="8" t="s">
        <v>30</v>
      </c>
      <c r="O35" s="13">
        <v>500</v>
      </c>
      <c r="P35" s="7">
        <f>ROUNDDOWN(P$8/O35,0)</f>
        <v>2</v>
      </c>
      <c r="R35" s="8" t="s">
        <v>108</v>
      </c>
      <c r="S35" s="9">
        <v>650</v>
      </c>
      <c r="T35" s="7">
        <f t="shared" ref="T35:T45" si="12">ROUNDDOWN(T$8/S35,0)</f>
        <v>2</v>
      </c>
      <c r="V35" s="8" t="s">
        <v>108</v>
      </c>
      <c r="W35" s="9">
        <v>600</v>
      </c>
      <c r="X35" s="7">
        <f t="shared" ref="X35:X42" si="13">ROUNDDOWN(X$8/W35,0)</f>
        <v>2</v>
      </c>
    </row>
    <row r="36" spans="2:24" x14ac:dyDescent="0.25">
      <c r="B36" s="8" t="s">
        <v>68</v>
      </c>
      <c r="C36" s="9">
        <v>1250</v>
      </c>
      <c r="D36" s="7">
        <f t="shared" si="9"/>
        <v>1</v>
      </c>
      <c r="F36" s="8" t="s">
        <v>68</v>
      </c>
      <c r="G36" s="9">
        <v>600</v>
      </c>
      <c r="H36" s="7">
        <f t="shared" si="10"/>
        <v>2</v>
      </c>
      <c r="J36" s="8" t="s">
        <v>101</v>
      </c>
      <c r="K36" s="9">
        <v>500</v>
      </c>
      <c r="L36" s="7">
        <f t="shared" si="11"/>
        <v>2</v>
      </c>
      <c r="N36" s="8" t="s">
        <v>68</v>
      </c>
      <c r="O36" s="13">
        <v>750</v>
      </c>
      <c r="P36" s="7">
        <f t="shared" ref="P36:P43" si="14">ROUNDDOWN(P$8/O36,0)</f>
        <v>1</v>
      </c>
      <c r="R36" s="8" t="s">
        <v>68</v>
      </c>
      <c r="S36" s="9">
        <v>1250</v>
      </c>
      <c r="T36" s="7">
        <f t="shared" si="12"/>
        <v>1</v>
      </c>
      <c r="V36" s="8" t="s">
        <v>68</v>
      </c>
      <c r="W36" s="9">
        <v>600</v>
      </c>
      <c r="X36" s="7">
        <f t="shared" si="13"/>
        <v>2</v>
      </c>
    </row>
    <row r="37" spans="2:24" x14ac:dyDescent="0.25">
      <c r="B37" s="8" t="s">
        <v>103</v>
      </c>
      <c r="C37" s="9">
        <v>1250</v>
      </c>
      <c r="D37" s="7">
        <f t="shared" si="9"/>
        <v>1</v>
      </c>
      <c r="F37" s="8" t="s">
        <v>103</v>
      </c>
      <c r="G37" s="9">
        <v>600</v>
      </c>
      <c r="H37" s="7">
        <f t="shared" si="10"/>
        <v>2</v>
      </c>
      <c r="J37" s="8" t="s">
        <v>102</v>
      </c>
      <c r="K37" s="9">
        <v>500</v>
      </c>
      <c r="L37" s="7">
        <f t="shared" si="11"/>
        <v>2</v>
      </c>
      <c r="N37" s="8" t="s">
        <v>103</v>
      </c>
      <c r="O37" s="13">
        <v>750</v>
      </c>
      <c r="P37" s="7">
        <f t="shared" si="14"/>
        <v>1</v>
      </c>
      <c r="R37" s="8" t="s">
        <v>103</v>
      </c>
      <c r="S37" s="9">
        <v>1250</v>
      </c>
      <c r="T37" s="7">
        <f t="shared" si="12"/>
        <v>1</v>
      </c>
      <c r="V37" s="8" t="s">
        <v>103</v>
      </c>
      <c r="W37" s="9">
        <v>600</v>
      </c>
      <c r="X37" s="7">
        <f t="shared" si="13"/>
        <v>2</v>
      </c>
    </row>
    <row r="38" spans="2:24" x14ac:dyDescent="0.25">
      <c r="B38" s="8" t="s">
        <v>110</v>
      </c>
      <c r="C38" s="9">
        <v>1250</v>
      </c>
      <c r="D38" s="7">
        <f t="shared" si="9"/>
        <v>1</v>
      </c>
      <c r="F38" s="8" t="s">
        <v>118</v>
      </c>
      <c r="G38" s="9">
        <v>600</v>
      </c>
      <c r="H38" s="7">
        <f t="shared" si="10"/>
        <v>2</v>
      </c>
      <c r="J38" s="8" t="s">
        <v>39</v>
      </c>
      <c r="K38" s="9">
        <v>1000</v>
      </c>
      <c r="L38" s="7">
        <f t="shared" si="11"/>
        <v>1</v>
      </c>
      <c r="N38" s="8" t="s">
        <v>31</v>
      </c>
      <c r="O38" s="13">
        <v>500</v>
      </c>
      <c r="P38" s="7">
        <f t="shared" si="14"/>
        <v>2</v>
      </c>
      <c r="R38" s="8" t="s">
        <v>110</v>
      </c>
      <c r="S38" s="9">
        <v>1250</v>
      </c>
      <c r="T38" s="7">
        <f t="shared" si="12"/>
        <v>1</v>
      </c>
      <c r="V38" s="8" t="s">
        <v>118</v>
      </c>
      <c r="W38" s="9">
        <v>600</v>
      </c>
      <c r="X38" s="7">
        <f t="shared" si="13"/>
        <v>2</v>
      </c>
    </row>
    <row r="39" spans="2:24" ht="15.75" thickBot="1" x14ac:dyDescent="0.3">
      <c r="B39" s="8" t="s">
        <v>111</v>
      </c>
      <c r="C39" s="9">
        <v>1250</v>
      </c>
      <c r="D39" s="7">
        <f t="shared" si="9"/>
        <v>1</v>
      </c>
      <c r="F39" s="8" t="s">
        <v>31</v>
      </c>
      <c r="G39" s="9">
        <v>600</v>
      </c>
      <c r="H39" s="7">
        <f t="shared" si="10"/>
        <v>2</v>
      </c>
      <c r="J39" s="2" t="s">
        <v>43</v>
      </c>
      <c r="K39" s="10">
        <v>1000</v>
      </c>
      <c r="L39" s="7">
        <f t="shared" si="11"/>
        <v>1</v>
      </c>
      <c r="N39" s="8" t="s">
        <v>104</v>
      </c>
      <c r="O39" s="13">
        <v>750</v>
      </c>
      <c r="P39" s="7">
        <f t="shared" si="14"/>
        <v>1</v>
      </c>
      <c r="R39" s="8" t="s">
        <v>111</v>
      </c>
      <c r="S39" s="9">
        <v>1250</v>
      </c>
      <c r="T39" s="7">
        <f t="shared" si="12"/>
        <v>1</v>
      </c>
      <c r="V39" s="8" t="s">
        <v>31</v>
      </c>
      <c r="W39" s="9">
        <v>600</v>
      </c>
      <c r="X39" s="7">
        <f t="shared" si="13"/>
        <v>2</v>
      </c>
    </row>
    <row r="40" spans="2:24" ht="15.75" thickBot="1" x14ac:dyDescent="0.3">
      <c r="B40" s="8" t="s">
        <v>112</v>
      </c>
      <c r="C40" s="9">
        <v>1250</v>
      </c>
      <c r="D40" s="7">
        <f t="shared" si="9"/>
        <v>1</v>
      </c>
      <c r="F40" s="2" t="s">
        <v>109</v>
      </c>
      <c r="G40" s="10">
        <v>600</v>
      </c>
      <c r="H40" s="7">
        <f t="shared" si="10"/>
        <v>2</v>
      </c>
      <c r="J40" s="2"/>
      <c r="K40" s="10"/>
      <c r="L40" s="11"/>
      <c r="N40" s="8" t="s">
        <v>105</v>
      </c>
      <c r="O40" s="13">
        <v>750</v>
      </c>
      <c r="P40" s="11">
        <f t="shared" si="14"/>
        <v>1</v>
      </c>
      <c r="R40" s="8" t="s">
        <v>112</v>
      </c>
      <c r="S40" s="9">
        <v>1250</v>
      </c>
      <c r="T40" s="7">
        <f t="shared" si="12"/>
        <v>1</v>
      </c>
      <c r="V40" s="2" t="s">
        <v>109</v>
      </c>
      <c r="W40" s="10">
        <v>600</v>
      </c>
      <c r="X40" s="7">
        <f t="shared" si="13"/>
        <v>2</v>
      </c>
    </row>
    <row r="41" spans="2:24" ht="15.75" thickBot="1" x14ac:dyDescent="0.3">
      <c r="B41" s="8" t="s">
        <v>113</v>
      </c>
      <c r="C41" s="9">
        <v>1250</v>
      </c>
      <c r="D41" s="7">
        <f t="shared" si="9"/>
        <v>1</v>
      </c>
      <c r="F41" s="92" t="s">
        <v>115</v>
      </c>
      <c r="G41" s="93">
        <v>1200</v>
      </c>
      <c r="H41" s="7">
        <f t="shared" si="10"/>
        <v>1</v>
      </c>
      <c r="J41" s="8"/>
      <c r="K41" s="9"/>
      <c r="L41" s="7"/>
      <c r="N41" s="8" t="s">
        <v>106</v>
      </c>
      <c r="O41" s="13">
        <v>750</v>
      </c>
      <c r="P41" s="11">
        <f t="shared" si="14"/>
        <v>1</v>
      </c>
      <c r="R41" s="8" t="s">
        <v>113</v>
      </c>
      <c r="S41" s="9">
        <v>1250</v>
      </c>
      <c r="T41" s="7">
        <f t="shared" si="12"/>
        <v>1</v>
      </c>
      <c r="V41" s="92" t="s">
        <v>115</v>
      </c>
      <c r="W41" s="93">
        <v>1200</v>
      </c>
      <c r="X41" s="7">
        <f t="shared" si="13"/>
        <v>1</v>
      </c>
    </row>
    <row r="42" spans="2:24" ht="15.75" thickBot="1" x14ac:dyDescent="0.3">
      <c r="B42" s="8" t="s">
        <v>114</v>
      </c>
      <c r="C42" s="9">
        <v>650</v>
      </c>
      <c r="D42" s="7">
        <f t="shared" si="9"/>
        <v>2</v>
      </c>
      <c r="F42" s="92" t="s">
        <v>43</v>
      </c>
      <c r="G42" s="93">
        <v>1200</v>
      </c>
      <c r="H42" s="7">
        <f t="shared" si="10"/>
        <v>1</v>
      </c>
      <c r="J42" s="8"/>
      <c r="K42" s="9"/>
      <c r="L42" s="7"/>
      <c r="N42" s="8" t="s">
        <v>107</v>
      </c>
      <c r="O42" s="13">
        <v>750</v>
      </c>
      <c r="P42" s="11">
        <f t="shared" si="14"/>
        <v>1</v>
      </c>
      <c r="R42" s="8" t="s">
        <v>114</v>
      </c>
      <c r="S42" s="9">
        <v>650</v>
      </c>
      <c r="T42" s="7">
        <f t="shared" si="12"/>
        <v>2</v>
      </c>
      <c r="V42" s="92" t="s">
        <v>43</v>
      </c>
      <c r="W42" s="93">
        <v>1200</v>
      </c>
      <c r="X42" s="7">
        <f t="shared" si="13"/>
        <v>1</v>
      </c>
    </row>
    <row r="43" spans="2:24" ht="15.75" thickBot="1" x14ac:dyDescent="0.3">
      <c r="B43" s="8" t="s">
        <v>115</v>
      </c>
      <c r="C43" s="10">
        <v>1250</v>
      </c>
      <c r="D43" s="7">
        <f t="shared" si="9"/>
        <v>1</v>
      </c>
      <c r="J43" s="89"/>
      <c r="K43" s="90"/>
      <c r="L43" s="91"/>
      <c r="N43" s="8" t="s">
        <v>39</v>
      </c>
      <c r="O43" s="13">
        <v>1000</v>
      </c>
      <c r="P43" s="11">
        <f t="shared" si="14"/>
        <v>1</v>
      </c>
      <c r="R43" s="8" t="s">
        <v>115</v>
      </c>
      <c r="S43" s="10">
        <v>1250</v>
      </c>
      <c r="T43" s="7">
        <f t="shared" si="12"/>
        <v>1</v>
      </c>
      <c r="V43" s="8"/>
      <c r="W43" s="10"/>
      <c r="X43" s="7"/>
    </row>
    <row r="44" spans="2:24" ht="15.75" thickBot="1" x14ac:dyDescent="0.3">
      <c r="B44" s="2" t="s">
        <v>43</v>
      </c>
      <c r="C44" s="10">
        <v>1250</v>
      </c>
      <c r="D44" s="7">
        <f t="shared" si="9"/>
        <v>1</v>
      </c>
      <c r="J44" s="2"/>
      <c r="K44" s="10"/>
      <c r="L44" s="11"/>
      <c r="N44" s="2" t="s">
        <v>43</v>
      </c>
      <c r="O44" s="13">
        <v>1000</v>
      </c>
      <c r="P44" s="11">
        <f t="shared" ref="P44" si="15">ROUNDDOWN(P$8/O44,0)</f>
        <v>1</v>
      </c>
      <c r="R44" s="2" t="s">
        <v>43</v>
      </c>
      <c r="S44" s="10">
        <v>1250</v>
      </c>
      <c r="T44" s="7">
        <f t="shared" si="12"/>
        <v>1</v>
      </c>
      <c r="V44" s="2"/>
      <c r="W44" s="10"/>
      <c r="X44" s="7"/>
    </row>
    <row r="45" spans="2:24" x14ac:dyDescent="0.25">
      <c r="B45" s="86"/>
      <c r="C45" s="87"/>
      <c r="D45" s="87"/>
      <c r="J45" s="86"/>
      <c r="K45" s="87"/>
      <c r="L45" s="87"/>
      <c r="N45" s="86"/>
      <c r="O45" s="88"/>
      <c r="P45" s="87"/>
      <c r="R45" s="92" t="s">
        <v>117</v>
      </c>
      <c r="S45" s="87">
        <v>1250</v>
      </c>
      <c r="T45" s="87">
        <f t="shared" si="12"/>
        <v>1</v>
      </c>
      <c r="V45" s="86"/>
      <c r="W45" s="87"/>
      <c r="X45" s="87"/>
    </row>
    <row r="46" spans="2:24" x14ac:dyDescent="0.25">
      <c r="C46" s="46" t="s">
        <v>49</v>
      </c>
      <c r="D46" s="46">
        <f>COUNTA(B34:B42)*3*D27</f>
        <v>27</v>
      </c>
      <c r="G46" s="46" t="s">
        <v>49</v>
      </c>
      <c r="H46" s="46">
        <f>COUNTA(F34:F42)*3*H27</f>
        <v>27</v>
      </c>
      <c r="K46" s="46" t="s">
        <v>49</v>
      </c>
      <c r="L46" s="46">
        <f>COUNTA(J34:J42)*3*L27</f>
        <v>18</v>
      </c>
      <c r="O46" s="46" t="s">
        <v>49</v>
      </c>
      <c r="P46" s="46">
        <f>COUNTA(N34:N44)*3*P27</f>
        <v>33</v>
      </c>
      <c r="S46" s="46" t="s">
        <v>49</v>
      </c>
      <c r="T46" s="46">
        <f>COUNTA(R34:R45)*3*T27</f>
        <v>36</v>
      </c>
      <c r="W46" s="46" t="s">
        <v>49</v>
      </c>
      <c r="X46" s="46">
        <f>COUNTA(V34:V42)*3*X27</f>
        <v>27</v>
      </c>
    </row>
  </sheetData>
  <mergeCells count="74">
    <mergeCell ref="S6:T6"/>
    <mergeCell ref="W6:X6"/>
    <mergeCell ref="D2:F2"/>
    <mergeCell ref="D3:F3"/>
    <mergeCell ref="C6:D6"/>
    <mergeCell ref="G6:H6"/>
    <mergeCell ref="K6:L6"/>
    <mergeCell ref="O6:P6"/>
    <mergeCell ref="V8:W8"/>
    <mergeCell ref="B7:C7"/>
    <mergeCell ref="F7:G7"/>
    <mergeCell ref="J7:K7"/>
    <mergeCell ref="N7:O7"/>
    <mergeCell ref="R7:S7"/>
    <mergeCell ref="V7:W7"/>
    <mergeCell ref="B8:C8"/>
    <mergeCell ref="F8:G8"/>
    <mergeCell ref="J8:K8"/>
    <mergeCell ref="N8:O8"/>
    <mergeCell ref="R8:S8"/>
    <mergeCell ref="V10:W10"/>
    <mergeCell ref="B9:C9"/>
    <mergeCell ref="F9:G9"/>
    <mergeCell ref="J9:K9"/>
    <mergeCell ref="N9:O9"/>
    <mergeCell ref="R9:S9"/>
    <mergeCell ref="V9:W9"/>
    <mergeCell ref="B10:C10"/>
    <mergeCell ref="F10:G10"/>
    <mergeCell ref="J10:K10"/>
    <mergeCell ref="N10:O10"/>
    <mergeCell ref="R10:S10"/>
    <mergeCell ref="V11:W11"/>
    <mergeCell ref="B11:C11"/>
    <mergeCell ref="F11:G11"/>
    <mergeCell ref="J11:K11"/>
    <mergeCell ref="N11:O11"/>
    <mergeCell ref="R11:S11"/>
    <mergeCell ref="B27:C27"/>
    <mergeCell ref="F27:G27"/>
    <mergeCell ref="J27:K27"/>
    <mergeCell ref="N27:O27"/>
    <mergeCell ref="C26:D26"/>
    <mergeCell ref="G26:H26"/>
    <mergeCell ref="K26:L26"/>
    <mergeCell ref="O26:P26"/>
    <mergeCell ref="B29:C29"/>
    <mergeCell ref="F29:G29"/>
    <mergeCell ref="J29:K29"/>
    <mergeCell ref="N29:O29"/>
    <mergeCell ref="R28:S28"/>
    <mergeCell ref="B28:C28"/>
    <mergeCell ref="F28:G28"/>
    <mergeCell ref="J28:K28"/>
    <mergeCell ref="N28:O28"/>
    <mergeCell ref="B31:C31"/>
    <mergeCell ref="F31:G31"/>
    <mergeCell ref="J31:K31"/>
    <mergeCell ref="N31:O31"/>
    <mergeCell ref="R30:S30"/>
    <mergeCell ref="B30:C30"/>
    <mergeCell ref="F30:G30"/>
    <mergeCell ref="J30:K30"/>
    <mergeCell ref="N30:O30"/>
    <mergeCell ref="S26:T26"/>
    <mergeCell ref="R29:S29"/>
    <mergeCell ref="R31:S31"/>
    <mergeCell ref="W26:X26"/>
    <mergeCell ref="V29:W29"/>
    <mergeCell ref="V31:W31"/>
    <mergeCell ref="V30:W30"/>
    <mergeCell ref="V28:W28"/>
    <mergeCell ref="R27:S27"/>
    <mergeCell ref="V27:W27"/>
  </mergeCells>
  <conditionalFormatting sqref="B14:C16 J14:L19 N14:P19 H14:H21 B17:B23 N18:O20 P20">
    <cfRule type="cellIs" dxfId="17" priority="42" operator="equal">
      <formula>0</formula>
    </cfRule>
  </conditionalFormatting>
  <conditionalFormatting sqref="B34:C36 B37:B43">
    <cfRule type="cellIs" dxfId="16" priority="19" operator="equal">
      <formula>0</formula>
    </cfRule>
  </conditionalFormatting>
  <conditionalFormatting sqref="C17:C21">
    <cfRule type="cellIs" dxfId="15" priority="20" operator="equal">
      <formula>0</formula>
    </cfRule>
  </conditionalFormatting>
  <conditionalFormatting sqref="C37:C41">
    <cfRule type="cellIs" dxfId="14" priority="18" operator="equal">
      <formula>0</formula>
    </cfRule>
  </conditionalFormatting>
  <conditionalFormatting sqref="F14:G17">
    <cfRule type="cellIs" dxfId="13" priority="5" operator="equal">
      <formula>0</formula>
    </cfRule>
  </conditionalFormatting>
  <conditionalFormatting sqref="F34:G37">
    <cfRule type="cellIs" dxfId="12" priority="3" operator="equal">
      <formula>0</formula>
    </cfRule>
  </conditionalFormatting>
  <conditionalFormatting sqref="J34:K38">
    <cfRule type="cellIs" dxfId="11" priority="31" operator="equal">
      <formula>0</formula>
    </cfRule>
  </conditionalFormatting>
  <conditionalFormatting sqref="N34:O43">
    <cfRule type="cellIs" dxfId="10" priority="22" operator="equal">
      <formula>0</formula>
    </cfRule>
  </conditionalFormatting>
  <conditionalFormatting sqref="N21:P24">
    <cfRule type="cellIs" dxfId="9" priority="25" operator="equal">
      <formula>0</formula>
    </cfRule>
  </conditionalFormatting>
  <conditionalFormatting sqref="R45">
    <cfRule type="cellIs" dxfId="8" priority="9" operator="equal">
      <formula>0</formula>
    </cfRule>
  </conditionalFormatting>
  <conditionalFormatting sqref="R14:S16 R17:R24">
    <cfRule type="cellIs" dxfId="7" priority="17" operator="equal">
      <formula>0</formula>
    </cfRule>
  </conditionalFormatting>
  <conditionalFormatting sqref="R34:S36 R37:R43">
    <cfRule type="cellIs" dxfId="6" priority="8" operator="equal">
      <formula>0</formula>
    </cfRule>
  </conditionalFormatting>
  <conditionalFormatting sqref="S17:S21">
    <cfRule type="cellIs" dxfId="5" priority="16" operator="equal">
      <formula>0</formula>
    </cfRule>
  </conditionalFormatting>
  <conditionalFormatting sqref="S37:S41">
    <cfRule type="cellIs" dxfId="4" priority="7" operator="equal">
      <formula>0</formula>
    </cfRule>
  </conditionalFormatting>
  <conditionalFormatting sqref="V43">
    <cfRule type="cellIs" dxfId="3" priority="11" operator="equal">
      <formula>0</formula>
    </cfRule>
  </conditionalFormatting>
  <conditionalFormatting sqref="V14:W16 V17:V23">
    <cfRule type="cellIs" dxfId="2" priority="13" operator="equal">
      <formula>0</formula>
    </cfRule>
  </conditionalFormatting>
  <conditionalFormatting sqref="V34:W37">
    <cfRule type="cellIs" dxfId="1" priority="1" operator="equal">
      <formula>0</formula>
    </cfRule>
  </conditionalFormatting>
  <conditionalFormatting sqref="W17:W21">
    <cfRule type="cellIs" dxfId="0" priority="1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CF270-1DBC-407B-9BBA-0E12F50963E0}">
  <dimension ref="A1:G13"/>
  <sheetViews>
    <sheetView showGridLines="0" zoomScale="85" zoomScaleNormal="85" workbookViewId="0">
      <selection activeCell="B5" sqref="B5"/>
    </sheetView>
  </sheetViews>
  <sheetFormatPr defaultColWidth="0" defaultRowHeight="15" zeroHeight="1" x14ac:dyDescent="0.25"/>
  <cols>
    <col min="1" max="1" width="23.42578125" bestFit="1" customWidth="1"/>
    <col min="2" max="2" width="24.7109375" customWidth="1"/>
    <col min="3" max="3" width="21.5703125" customWidth="1"/>
    <col min="4" max="4" width="31" customWidth="1"/>
    <col min="5" max="5" width="18.28515625" customWidth="1"/>
    <col min="6" max="7" width="9.140625" customWidth="1"/>
    <col min="8" max="16384" width="9.140625" hidden="1"/>
  </cols>
  <sheetData>
    <row r="1" spans="1:5" x14ac:dyDescent="0.25">
      <c r="A1" s="73" t="s">
        <v>81</v>
      </c>
      <c r="B1" s="74">
        <v>0.05</v>
      </c>
      <c r="E1">
        <f>16*242</f>
        <v>3872</v>
      </c>
    </row>
    <row r="2" spans="1:5" x14ac:dyDescent="0.25">
      <c r="A2" s="64" t="s">
        <v>85</v>
      </c>
      <c r="B2" s="65">
        <v>1950</v>
      </c>
    </row>
    <row r="3" spans="1:5" x14ac:dyDescent="0.25">
      <c r="A3" s="66" t="s">
        <v>92</v>
      </c>
      <c r="B3" s="75">
        <v>12</v>
      </c>
      <c r="C3" s="75" t="s">
        <v>91</v>
      </c>
      <c r="D3" s="81">
        <v>1000</v>
      </c>
      <c r="E3" s="81" t="s">
        <v>80</v>
      </c>
    </row>
    <row r="4" spans="1:5" ht="30" x14ac:dyDescent="0.25">
      <c r="A4" s="67" t="s">
        <v>86</v>
      </c>
      <c r="B4" s="76">
        <v>500</v>
      </c>
      <c r="C4" s="76" t="s">
        <v>80</v>
      </c>
      <c r="D4">
        <f>C6/12</f>
        <v>50</v>
      </c>
      <c r="E4" s="82" t="s">
        <v>87</v>
      </c>
    </row>
    <row r="5" spans="1:5" ht="63.75" thickBot="1" x14ac:dyDescent="0.3">
      <c r="A5" s="68" t="s">
        <v>82</v>
      </c>
      <c r="B5" s="69" t="s">
        <v>83</v>
      </c>
      <c r="C5" s="69" t="s">
        <v>84</v>
      </c>
      <c r="D5" s="79" t="str">
        <f>"Percentual de críticas a serem trabalhadas"&amp;" ("&amp;B1*100&amp;"%)"</f>
        <v>Percentual de críticas a serem trabalhadas (5%)</v>
      </c>
      <c r="E5" s="80" t="s">
        <v>87</v>
      </c>
    </row>
    <row r="6" spans="1:5" ht="21.75" thickTop="1" thickBot="1" x14ac:dyDescent="0.4">
      <c r="A6" s="70">
        <v>100</v>
      </c>
      <c r="B6" s="77">
        <f>D6*$B$2</f>
        <v>58500</v>
      </c>
      <c r="C6" s="71">
        <f>$B$4/$D$3*$B$3*A6</f>
        <v>600</v>
      </c>
      <c r="D6" s="71">
        <f>$B$1*C6</f>
        <v>30</v>
      </c>
      <c r="E6" s="78">
        <f>C6/12</f>
        <v>50</v>
      </c>
    </row>
    <row r="7" spans="1:5" ht="21.75" thickTop="1" thickBot="1" x14ac:dyDescent="0.4">
      <c r="A7" s="70">
        <v>200</v>
      </c>
      <c r="B7" s="77">
        <f t="shared" ref="B7:B12" si="0">D7*$B$2</f>
        <v>117000</v>
      </c>
      <c r="C7" s="71">
        <f t="shared" ref="C7:C12" si="1">$B$4/$D$3*$B$3*A7</f>
        <v>1200</v>
      </c>
      <c r="D7" s="72">
        <f t="shared" ref="D7:D12" si="2">$B$1*C7</f>
        <v>60</v>
      </c>
      <c r="E7" s="78">
        <f t="shared" ref="E7:E12" si="3">C7/12</f>
        <v>100</v>
      </c>
    </row>
    <row r="8" spans="1:5" ht="21.75" thickTop="1" thickBot="1" x14ac:dyDescent="0.4">
      <c r="A8" s="70">
        <v>300</v>
      </c>
      <c r="B8" s="77">
        <f t="shared" si="0"/>
        <v>175500</v>
      </c>
      <c r="C8" s="71">
        <f t="shared" si="1"/>
        <v>1800</v>
      </c>
      <c r="D8" s="72">
        <f t="shared" si="2"/>
        <v>90</v>
      </c>
      <c r="E8" s="78">
        <f t="shared" si="3"/>
        <v>150</v>
      </c>
    </row>
    <row r="9" spans="1:5" ht="21.75" thickTop="1" thickBot="1" x14ac:dyDescent="0.4">
      <c r="A9" s="70">
        <v>500</v>
      </c>
      <c r="B9" s="77">
        <f t="shared" si="0"/>
        <v>292500</v>
      </c>
      <c r="C9" s="71">
        <f t="shared" si="1"/>
        <v>3000</v>
      </c>
      <c r="D9" s="72">
        <f t="shared" si="2"/>
        <v>150</v>
      </c>
      <c r="E9" s="78">
        <f t="shared" si="3"/>
        <v>250</v>
      </c>
    </row>
    <row r="10" spans="1:5" ht="21.75" thickTop="1" thickBot="1" x14ac:dyDescent="0.4">
      <c r="A10" s="70">
        <v>750</v>
      </c>
      <c r="B10" s="77">
        <f t="shared" si="0"/>
        <v>438750</v>
      </c>
      <c r="C10" s="71">
        <f t="shared" si="1"/>
        <v>4500</v>
      </c>
      <c r="D10" s="72">
        <f t="shared" si="2"/>
        <v>225</v>
      </c>
      <c r="E10" s="78">
        <f t="shared" si="3"/>
        <v>375</v>
      </c>
    </row>
    <row r="11" spans="1:5" ht="21.75" thickTop="1" thickBot="1" x14ac:dyDescent="0.4">
      <c r="A11" s="70">
        <v>1000</v>
      </c>
      <c r="B11" s="77">
        <f t="shared" si="0"/>
        <v>585000</v>
      </c>
      <c r="C11" s="71">
        <f t="shared" si="1"/>
        <v>6000</v>
      </c>
      <c r="D11" s="72">
        <f t="shared" si="2"/>
        <v>300</v>
      </c>
      <c r="E11" s="78">
        <f t="shared" si="3"/>
        <v>500</v>
      </c>
    </row>
    <row r="12" spans="1:5" ht="21.75" thickTop="1" thickBot="1" x14ac:dyDescent="0.4">
      <c r="A12" s="70">
        <v>2000</v>
      </c>
      <c r="B12" s="77">
        <f t="shared" si="0"/>
        <v>1170000</v>
      </c>
      <c r="C12" s="71">
        <f t="shared" si="1"/>
        <v>12000</v>
      </c>
      <c r="D12" s="72">
        <f t="shared" si="2"/>
        <v>600</v>
      </c>
      <c r="E12" s="78">
        <f t="shared" si="3"/>
        <v>1000</v>
      </c>
    </row>
    <row r="13" spans="1:5" ht="15.75" hidden="1" thickTop="1" x14ac:dyDescent="0.25"/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A276569CE0B4C901459600C11AD74" ma:contentTypeVersion="13" ma:contentTypeDescription="Create a new document." ma:contentTypeScope="" ma:versionID="6ee16fef0b33b65de4b70dc95257310b">
  <xsd:schema xmlns:xsd="http://www.w3.org/2001/XMLSchema" xmlns:xs="http://www.w3.org/2001/XMLSchema" xmlns:p="http://schemas.microsoft.com/office/2006/metadata/properties" xmlns:ns2="201ddbc6-a894-46cf-868d-33bef4be45c4" xmlns:ns3="dd92ac06-5fc8-483a-9dae-104d262fc529" targetNamespace="http://schemas.microsoft.com/office/2006/metadata/properties" ma:root="true" ma:fieldsID="628bf1f203de500270920fb0551755b3" ns2:_="" ns3:_="">
    <xsd:import namespace="201ddbc6-a894-46cf-868d-33bef4be45c4"/>
    <xsd:import namespace="dd92ac06-5fc8-483a-9dae-104d262fc5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1ddbc6-a894-46cf-868d-33bef4be45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92ac06-5fc8-483a-9dae-104d262fc52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AF763C-63FE-4AA2-88FF-9CFBB72AB3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1ddbc6-a894-46cf-868d-33bef4be45c4"/>
    <ds:schemaRef ds:uri="dd92ac06-5fc8-483a-9dae-104d262fc5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F0D80E-B1B4-469D-BC8D-3D6B6446AA86}">
  <ds:schemaRefs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dd92ac06-5fc8-483a-9dae-104d262fc529"/>
    <ds:schemaRef ds:uri="201ddbc6-a894-46cf-868d-33bef4be45c4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FD087FC-92D2-4AFC-A25F-BBD30E1D7D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CONST-MIN-Calc Real base prevt</vt:lpstr>
      <vt:lpstr>AGRO-Calc Real base preventiva</vt:lpstr>
      <vt:lpstr>FLORESTA-Calc Real base prevent</vt:lpstr>
      <vt:lpstr>MSC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Bianca Calazans</dc:creator>
  <cp:keywords/>
  <dc:description/>
  <cp:lastModifiedBy>Ederson Bahia</cp:lastModifiedBy>
  <cp:revision/>
  <dcterms:created xsi:type="dcterms:W3CDTF">2019-06-18T20:12:27Z</dcterms:created>
  <dcterms:modified xsi:type="dcterms:W3CDTF">2026-08-28T14:18:45Z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0x010100E13A276569CE0B4C901459600C11AD74</vt:lpwstr>
  </property>
</Properties>
</file>